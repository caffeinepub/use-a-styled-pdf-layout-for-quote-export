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9" codeName="{00000000-0000-0000-0000-000000000000}"/>
  <workbookPr filterPrivacy="1" codeName="ThisWorkbook" defaultThemeVersion="166925"/>
  <xr:revisionPtr revIDLastSave="510" documentId="8_{08DEE229-F9E1-4C42-BC2B-A4509E8572FC}" xr6:coauthVersionLast="47" xr6:coauthVersionMax="47" xr10:uidLastSave="{EBFB35A7-1FB9-46A4-998E-37B53FB15C8D}"/>
  <bookViews>
    <workbookView xWindow="-110" yWindow="-110" windowWidth="19420" windowHeight="10300" firstSheet="4" activeTab="2" xr2:uid="{C0D831BA-437F-4684-AA54-143E42F897AB}"/>
  </bookViews>
  <sheets>
    <sheet name="Rate Card Items" sheetId="30" r:id="rId1"/>
    <sheet name="Rate_Card" sheetId="20" state="veryHidden" r:id="rId2"/>
    <sheet name="Quote Sheet" sheetId="16" r:id="rId3"/>
    <sheet name="GT Template" sheetId="38" r:id="rId4"/>
    <sheet name="MT Template" sheetId="40" r:id="rId5"/>
  </sheets>
  <definedNames>
    <definedName name="_xlop.lookup1" hidden="1" xlm="1">#NAME?</definedName>
    <definedName name="_xlop.lookup10" hidden="1" xlm="1">#NAME?</definedName>
    <definedName name="_xlop.lookup2" hidden="1" xlm="1">#NAME?</definedName>
    <definedName name="_xlop.lookup3" hidden="1" xlm="1">#NAME?</definedName>
    <definedName name="_xlop.lookup4" hidden="1" xlm="1">#NAME?</definedName>
    <definedName name="_xlop.lookup5" hidden="1" xlm="1">#NAME?</definedName>
    <definedName name="_xlop.lookup6" hidden="1" xlm="1">#NAME?</definedName>
    <definedName name="_xlop.lookup7" hidden="1" xlm="1">#NAME?</definedName>
    <definedName name="_xlop.lookup8" hidden="1" xlm="1">#NAME?</definedName>
    <definedName name="_xlop.lookup9" hidden="1" xlm="1">#NAME?</definedName>
    <definedName name="_xlpm._s" hidden="1" xlm="1">#NAME?</definedName>
    <definedName name="_xlpm.c" hidden="1" xlm="1">#NAME?</definedName>
    <definedName name="_xlpm.d" hidden="1" xlm="1">#NAME?</definedName>
    <definedName name="_xlpm.I" hidden="1" xlm="1">#NAME?</definedName>
    <definedName name="_xlpm.levelIndex" hidden="1" xlm="1">#NAME?</definedName>
    <definedName name="_xlpm.lookup1" hidden="1" xlm="1">#NAME?</definedName>
    <definedName name="_xlpm.lookup10" hidden="1" xlm="1">#NAME?</definedName>
    <definedName name="_xlpm.lookup2" hidden="1" xlm="1">#NAME?</definedName>
    <definedName name="_xlpm.lookup3" hidden="1" xlm="1">#NAME?</definedName>
    <definedName name="_xlpm.lookup4" hidden="1" xlm="1">#NAME?</definedName>
    <definedName name="_xlpm.lookup5" hidden="1" xlm="1">#NAME?</definedName>
    <definedName name="_xlpm.lookup6" hidden="1" xlm="1">#NAME?</definedName>
    <definedName name="_xlpm.lookup7" hidden="1" xlm="1">#NAME?</definedName>
    <definedName name="_xlpm.lookup8" hidden="1" xlm="1">#NAME?</definedName>
    <definedName name="_xlpm.lookup9" hidden="1" xlm="1">#NAME?</definedName>
    <definedName name="_xlpm.lookupArray" hidden="1" xlm="1">#NAME?</definedName>
    <definedName name="_xlpm.lookupValue" hidden="1" xlm="1">#NAME?</definedName>
    <definedName name="_xlpm.range" hidden="1" xlm="1">#NAME?</definedName>
    <definedName name="_xlpm.result" hidden="1" xlm="1">#NAME?</definedName>
    <definedName name="_xlpm.returnRange" hidden="1" xlm="1">#NAME?</definedName>
    <definedName name="_xlpm.row" hidden="1" xlm="1">#NAME?</definedName>
    <definedName name="_xlpm.s" hidden="1" xlm="1">#NAME?</definedName>
    <definedName name="DDL">_xlfn.LAMBDA(_xlpm.range,_xlop.lookup1,_xlop.lookup2,_xlop.lookup3,_xlop.lookup4,_xlop.lookup5,_xlop.lookup6,_xlop.lookup7,_xlop.lookup8,_xlop.lookup9,_xlop.lookup10, _xlfn.LET( _xlpm._s, "%^&amp;&amp;@",  _xlpm.lookupValue, _xlpm.lookup1 &amp; _xlpm._s &amp; _xlpm.lookup2 &amp; _xlpm._s &amp; _xlpm.lookup3 &amp; _xlpm._s &amp; _xlpm.lookup4 &amp; _xlpm._s &amp; _xlpm.lookup5 &amp; _xlpm._s &amp; _xlpm.lookup6 &amp; _xlpm._s &amp; _xlpm.lookup7 &amp; _xlpm._s &amp; _xlpm.lookup8 &amp; _xlpm._s &amp; _xlpm.lookup9 &amp; _xlpm._s &amp; _xlpm.lookup10, _xlpm.levelIndex, IFERROR(ROWS(_xlfn.TEXTSPLIT(_xlpm.lookupValue, , _xlpm._s, TRUE())), 0) + 1,  _xlpm.lookupArray, _xlfn.BYROW(_xlfn.EXPAND(_xlfn.CHOOSECOLS(_xlpm.range, _xlfn.SEQUENCE(1, _xlpm.levelIndex - 1)), , 10, ""), _xlfn.LAMBDA(_xlpm.row, _xlfn.TEXTJOIN(_xlpm._s, FALSE, _xlpm.row))), _xlpm.returnRange, INDEX(_xlpm.range, 0, _xlpm.levelIndex),  _xlpm.result, IF(_xlfn.ISOMITTED(_xlpm.lookup1) * _xlpm.levelIndex = 1, _xlpm.returnRange, _xlfn.XLOOKUP(_xlpm.lookupValue, _xlpm.lookupArray, _xlpm.returnRange):_xlfn.XLOOKUP(_xlpm.lookupValue, _xlpm.lookupArray, _xlpm.returnRange, , , -1)), _xlpm.result))</definedName>
    <definedName name="ExternalData_1" localSheetId="3" hidden="1">'GT Template'!#REF!</definedName>
    <definedName name="ExternalData_1" localSheetId="4" hidden="1">'MT Template'!#REF!</definedName>
    <definedName name="ExternalData_1" localSheetId="2" hidden="1">'Quote Sheet'!#REF!</definedName>
    <definedName name="ExternalData_1" localSheetId="1" hidden="1">'Rate_Card'!$A$1:$G$387</definedName>
    <definedName name="ExternalData_2" localSheetId="0" hidden="1">'Rate Card Items'!$A$1:$D$323</definedName>
    <definedName name="mylist">Rate_Card[[Category]:[Additional Details]]</definedName>
    <definedName name="_xlnm.Print_Titles" localSheetId="3">'GT Template'!$7:$7</definedName>
    <definedName name="_xlnm.Print_Titles" localSheetId="4">'MT Template'!$7:$7</definedName>
    <definedName name="_xlnm.Print_Titles" localSheetId="2">'Quote Sheet'!$7:$7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" i="16" l="1" a="1"/>
  <c r="G8" i="16" s="1"/>
  <c r="H8" i="16" s="1"/>
  <c r="G9" i="16" a="1"/>
  <c r="G9" i="16" s="1"/>
  <c r="H9" i="16" s="1"/>
  <c r="H10" i="16"/>
  <c r="G11" i="16" a="1"/>
  <c r="G11" i="16" s="1"/>
  <c r="H11" i="16" s="1"/>
  <c r="G12" i="16" a="1"/>
  <c r="G12" i="16" s="1"/>
  <c r="H12" i="16" s="1"/>
  <c r="G8" i="38" a="1"/>
  <c r="G8" i="38" s="1"/>
  <c r="H8" i="38" s="1"/>
  <c r="G9" i="38" a="1"/>
  <c r="G9" i="38" s="1"/>
  <c r="H9" i="38" s="1"/>
  <c r="G10" i="38" a="1"/>
  <c r="G10" i="38" s="1"/>
  <c r="H10" i="38" s="1"/>
  <c r="G11" i="38" a="1"/>
  <c r="G11" i="38" s="1"/>
  <c r="H11" i="38" s="1"/>
  <c r="G12" i="38" a="1"/>
  <c r="G12" i="38" s="1"/>
  <c r="H12" i="38" s="1"/>
  <c r="G13" i="38" a="1"/>
  <c r="G13" i="38" s="1"/>
  <c r="H13" i="38" s="1"/>
  <c r="G14" i="38" a="1"/>
  <c r="G14" i="38" s="1"/>
  <c r="H14" i="38" s="1"/>
  <c r="G15" i="38" a="1"/>
  <c r="G15" i="38" s="1"/>
  <c r="H15" i="38" s="1"/>
  <c r="G16" i="38" a="1"/>
  <c r="G16" i="38" s="1"/>
  <c r="H16" i="38" s="1"/>
  <c r="G17" i="38" a="1"/>
  <c r="G17" i="38" s="1"/>
  <c r="H17" i="38" s="1"/>
  <c r="G18" i="38" a="1"/>
  <c r="G18" i="38" s="1"/>
  <c r="H18" i="38" s="1"/>
  <c r="G19" i="38" a="1"/>
  <c r="G19" i="38" s="1"/>
  <c r="H19" i="38" s="1"/>
  <c r="G20" i="38" a="1"/>
  <c r="G20" i="38" s="1"/>
  <c r="H20" i="38" s="1"/>
  <c r="G21" i="38" a="1"/>
  <c r="G21" i="38" s="1"/>
  <c r="H21" i="38" s="1"/>
  <c r="G22" i="38" a="1"/>
  <c r="G22" i="38" s="1"/>
  <c r="H22" i="38" s="1"/>
  <c r="G23" i="38" a="1"/>
  <c r="G23" i="38" s="1"/>
  <c r="H23" i="38" s="1"/>
  <c r="G24" i="38" a="1"/>
  <c r="G24" i="38" s="1"/>
  <c r="H24" i="38" s="1"/>
  <c r="G25" i="38" a="1"/>
  <c r="G25" i="38" s="1"/>
  <c r="H25" i="38" s="1"/>
  <c r="G26" i="38" a="1"/>
  <c r="G26" i="38" s="1"/>
  <c r="H26" i="38" s="1"/>
  <c r="G27" i="38" a="1"/>
  <c r="G27" i="38" s="1"/>
  <c r="H27" i="38" s="1"/>
  <c r="G28" i="38" a="1"/>
  <c r="G28" i="38" s="1"/>
  <c r="H28" i="38" s="1"/>
  <c r="G29" i="38" a="1"/>
  <c r="G29" i="38" s="1"/>
  <c r="H29" i="38" s="1"/>
  <c r="G8" i="40" a="1"/>
  <c r="G8" i="40" s="1"/>
  <c r="H8" i="40" s="1"/>
  <c r="G9" i="40" a="1"/>
  <c r="G9" i="40" s="1"/>
  <c r="H9" i="40" s="1"/>
  <c r="G10" i="40" a="1"/>
  <c r="G10" i="40" s="1"/>
  <c r="H10" i="40" s="1"/>
  <c r="G11" i="40" a="1"/>
  <c r="G11" i="40" s="1"/>
  <c r="H11" i="40" s="1"/>
  <c r="G12" i="40" a="1"/>
  <c r="G12" i="40" s="1"/>
  <c r="H12" i="40" s="1"/>
  <c r="G13" i="40" a="1"/>
  <c r="G13" i="40" s="1"/>
  <c r="H13" i="40" s="1"/>
  <c r="G14" i="40" a="1"/>
  <c r="G14" i="40" s="1"/>
  <c r="H14" i="40" s="1"/>
  <c r="G15" i="40" a="1"/>
  <c r="G15" i="40" s="1"/>
  <c r="H15" i="40" s="1"/>
  <c r="G16" i="40" a="1"/>
  <c r="G16" i="40" s="1"/>
  <c r="H16" i="40" s="1"/>
  <c r="G17" i="40" a="1"/>
  <c r="G17" i="40" s="1"/>
  <c r="H17" i="40" s="1"/>
  <c r="G18" i="40" a="1"/>
  <c r="G18" i="40" s="1"/>
  <c r="H18" i="40" s="1"/>
  <c r="G19" i="40" a="1"/>
  <c r="G19" i="40" s="1"/>
  <c r="H19" i="40" s="1"/>
  <c r="G20" i="40" a="1"/>
  <c r="G20" i="40" s="1"/>
  <c r="H20" i="40" s="1"/>
  <c r="C8" i="40" a="1"/>
  <c r="C8" i="40" s="1"/>
  <c r="C9" i="40" a="1"/>
  <c r="C9" i="40" s="1"/>
  <c r="C10" i="40" a="1"/>
  <c r="C10" i="40" s="1"/>
  <c r="C11" i="40" a="1"/>
  <c r="C11" i="40" s="1"/>
  <c r="C12" i="40" a="1"/>
  <c r="C12" i="40" s="1"/>
  <c r="C13" i="40" a="1"/>
  <c r="C13" i="40" s="1"/>
  <c r="C14" i="40" a="1"/>
  <c r="C14" i="40" s="1"/>
  <c r="C15" i="40" a="1"/>
  <c r="C15" i="40" s="1"/>
  <c r="C16" i="40" a="1"/>
  <c r="C16" i="40" s="1"/>
  <c r="C17" i="40" a="1"/>
  <c r="C17" i="40" s="1"/>
  <c r="C18" i="40" a="1"/>
  <c r="C18" i="40" s="1"/>
  <c r="C19" i="40" a="1"/>
  <c r="C19" i="40" s="1"/>
  <c r="C20" i="40" a="1"/>
  <c r="C20" i="40" s="1"/>
  <c r="F8" i="40" a="1"/>
  <c r="F8" i="40" s="1"/>
  <c r="L8" i="40" s="1"/>
  <c r="F9" i="40" a="1"/>
  <c r="F9" i="40" s="1"/>
  <c r="L9" i="40" s="1"/>
  <c r="F10" i="40" a="1"/>
  <c r="F10" i="40" s="1"/>
  <c r="L10" i="40" s="1"/>
  <c r="F11" i="40" a="1"/>
  <c r="F11" i="40" s="1"/>
  <c r="L11" i="40" s="1"/>
  <c r="F12" i="40" a="1"/>
  <c r="F12" i="40" s="1"/>
  <c r="L12" i="40" s="1"/>
  <c r="F13" i="40" a="1"/>
  <c r="F13" i="40" s="1"/>
  <c r="L13" i="40" s="1"/>
  <c r="F14" i="40" a="1"/>
  <c r="F14" i="40" s="1"/>
  <c r="L14" i="40" s="1"/>
  <c r="F15" i="40" a="1"/>
  <c r="F15" i="40" s="1"/>
  <c r="L15" i="40" s="1"/>
  <c r="F16" i="40" a="1"/>
  <c r="F16" i="40" s="1"/>
  <c r="L16" i="40" s="1"/>
  <c r="F17" i="40" a="1"/>
  <c r="F17" i="40" s="1"/>
  <c r="L17" i="40" s="1"/>
  <c r="F18" i="40" a="1"/>
  <c r="F18" i="40" s="1"/>
  <c r="L18" i="40" s="1"/>
  <c r="F19" i="40" a="1"/>
  <c r="F19" i="40" s="1"/>
  <c r="L19" i="40" s="1"/>
  <c r="F20" i="40" a="1"/>
  <c r="F20" i="40" s="1"/>
  <c r="L20" i="40" s="1"/>
  <c r="F8" i="38" a="1"/>
  <c r="F8" i="38" s="1"/>
  <c r="L8" i="38" s="1"/>
  <c r="F9" i="38" a="1"/>
  <c r="F9" i="38" s="1"/>
  <c r="L9" i="38" s="1"/>
  <c r="F10" i="38" a="1"/>
  <c r="F10" i="38" s="1"/>
  <c r="L10" i="38" s="1"/>
  <c r="F11" i="38" a="1"/>
  <c r="F11" i="38" s="1"/>
  <c r="L11" i="38" s="1"/>
  <c r="F12" i="38" a="1"/>
  <c r="F12" i="38" s="1"/>
  <c r="L12" i="38" s="1"/>
  <c r="F13" i="38" a="1"/>
  <c r="F13" i="38" s="1"/>
  <c r="L13" i="38" s="1"/>
  <c r="F14" i="38" a="1"/>
  <c r="F14" i="38" s="1"/>
  <c r="L14" i="38" s="1"/>
  <c r="F15" i="38" a="1"/>
  <c r="F15" i="38" s="1"/>
  <c r="L15" i="38" s="1"/>
  <c r="F16" i="38" a="1"/>
  <c r="F16" i="38" s="1"/>
  <c r="L16" i="38" s="1"/>
  <c r="F17" i="38" a="1"/>
  <c r="F17" i="38" s="1"/>
  <c r="L17" i="38" s="1"/>
  <c r="F18" i="38" a="1"/>
  <c r="F18" i="38" s="1"/>
  <c r="L18" i="38" s="1"/>
  <c r="F19" i="38" a="1"/>
  <c r="F19" i="38" s="1"/>
  <c r="L19" i="38" s="1"/>
  <c r="F20" i="38" a="1"/>
  <c r="F20" i="38" s="1"/>
  <c r="L20" i="38" s="1"/>
  <c r="F21" i="38" a="1"/>
  <c r="F21" i="38" s="1"/>
  <c r="L21" i="38" s="1"/>
  <c r="F22" i="38" a="1"/>
  <c r="F22" i="38" s="1"/>
  <c r="L22" i="38" s="1"/>
  <c r="F23" i="38" a="1"/>
  <c r="F23" i="38" s="1"/>
  <c r="L23" i="38" s="1"/>
  <c r="F24" i="38" a="1"/>
  <c r="F24" i="38" s="1"/>
  <c r="L24" i="38" s="1"/>
  <c r="F25" i="38" a="1"/>
  <c r="F25" i="38" s="1"/>
  <c r="L25" i="38" s="1"/>
  <c r="F26" i="38" a="1"/>
  <c r="F26" i="38" s="1"/>
  <c r="L26" i="38" s="1"/>
  <c r="F27" i="38" a="1"/>
  <c r="F27" i="38" s="1"/>
  <c r="L27" i="38" s="1"/>
  <c r="F28" i="38" a="1"/>
  <c r="F28" i="38" s="1"/>
  <c r="L28" i="38" s="1"/>
  <c r="F29" i="38" a="1"/>
  <c r="F29" i="38" s="1"/>
  <c r="L29" i="38" s="1"/>
  <c r="C8" i="38" a="1"/>
  <c r="C8" i="38" s="1"/>
  <c r="C9" i="38" a="1"/>
  <c r="C9" i="38" s="1"/>
  <c r="C10" i="38" a="1"/>
  <c r="C10" i="38" s="1"/>
  <c r="C11" i="38" a="1"/>
  <c r="C11" i="38" s="1"/>
  <c r="C12" i="38" a="1"/>
  <c r="C12" i="38" s="1"/>
  <c r="C13" i="38" a="1"/>
  <c r="C13" i="38" s="1"/>
  <c r="C14" i="38" a="1"/>
  <c r="C14" i="38" s="1"/>
  <c r="C15" i="38" a="1"/>
  <c r="C15" i="38" s="1"/>
  <c r="C16" i="38" a="1"/>
  <c r="C16" i="38" s="1"/>
  <c r="C17" i="38" a="1"/>
  <c r="C17" i="38" s="1"/>
  <c r="C18" i="38" a="1"/>
  <c r="C18" i="38" s="1"/>
  <c r="C19" i="38" a="1"/>
  <c r="C19" i="38" s="1"/>
  <c r="C20" i="38" a="1"/>
  <c r="C20" i="38" s="1"/>
  <c r="C21" i="38" a="1"/>
  <c r="C21" i="38" s="1"/>
  <c r="C22" i="38" a="1"/>
  <c r="C22" i="38" s="1"/>
  <c r="C23" i="38" a="1"/>
  <c r="C23" i="38" s="1"/>
  <c r="C24" i="38" a="1"/>
  <c r="C24" i="38" s="1"/>
  <c r="C25" i="38" a="1"/>
  <c r="C25" i="38" s="1"/>
  <c r="C26" i="38" a="1"/>
  <c r="C26" i="38" s="1"/>
  <c r="C27" i="38" a="1"/>
  <c r="C27" i="38" s="1"/>
  <c r="C28" i="38" a="1"/>
  <c r="C28" i="38" s="1"/>
  <c r="C29" i="38" a="1"/>
  <c r="C29" i="38" s="1"/>
  <c r="F8" i="16" a="1"/>
  <c r="F8" i="16" s="1"/>
  <c r="L8" i="16" s="1"/>
  <c r="F9" i="16" a="1"/>
  <c r="F9" i="16" s="1"/>
  <c r="L9" i="16" s="1"/>
  <c r="L10" i="16"/>
  <c r="F11" i="16" a="1"/>
  <c r="F11" i="16" s="1"/>
  <c r="L11" i="16" s="1"/>
  <c r="F12" i="16" a="1"/>
  <c r="F12" i="16" s="1"/>
  <c r="L12" i="16" s="1"/>
  <c r="C8" i="16" a="1"/>
  <c r="C8" i="16" s="1"/>
  <c r="C9" i="16" a="1"/>
  <c r="C9" i="16" s="1"/>
  <c r="C10" i="16" a="1"/>
  <c r="C10" i="16" s="1"/>
  <c r="C11" i="16" a="1"/>
  <c r="C11" i="16" s="1"/>
  <c r="C12" i="16" a="1"/>
  <c r="C12" i="16" s="1"/>
  <c r="R24" i="40"/>
  <c r="R23" i="40"/>
  <c r="S20" i="40"/>
  <c r="S19" i="40"/>
  <c r="S18" i="40"/>
  <c r="S17" i="40"/>
  <c r="S16" i="40"/>
  <c r="S15" i="40"/>
  <c r="S14" i="40"/>
  <c r="S13" i="40"/>
  <c r="S12" i="40"/>
  <c r="S11" i="40"/>
  <c r="S10" i="40"/>
  <c r="S9" i="40"/>
  <c r="S9" i="38"/>
  <c r="S10" i="38"/>
  <c r="S11" i="38"/>
  <c r="S12" i="38"/>
  <c r="S13" i="38"/>
  <c r="S14" i="38"/>
  <c r="S15" i="38"/>
  <c r="S16" i="38"/>
  <c r="S17" i="38"/>
  <c r="S18" i="38"/>
  <c r="S19" i="38"/>
  <c r="S20" i="38"/>
  <c r="S21" i="38"/>
  <c r="S22" i="38"/>
  <c r="S23" i="38"/>
  <c r="S24" i="38"/>
  <c r="S25" i="38"/>
  <c r="S26" i="38"/>
  <c r="S27" i="38"/>
  <c r="S28" i="38"/>
  <c r="R33" i="38"/>
  <c r="R32" i="38"/>
  <c r="S29" i="38"/>
  <c r="S9" i="16"/>
  <c r="S10" i="16"/>
  <c r="S11" i="16"/>
  <c r="S12" i="16"/>
  <c r="K1" i="20" a="1"/>
  <c r="K1" i="20" l="1"/>
  <c r="L22" i="40"/>
  <c r="K20" i="40"/>
  <c r="N20" i="40" s="1"/>
  <c r="O20" i="40" s="1"/>
  <c r="M20" i="40"/>
  <c r="K19" i="40"/>
  <c r="N19" i="40" s="1"/>
  <c r="O19" i="40" s="1"/>
  <c r="M19" i="40"/>
  <c r="K18" i="40"/>
  <c r="N18" i="40" s="1"/>
  <c r="O18" i="40" s="1"/>
  <c r="M18" i="40"/>
  <c r="K17" i="40"/>
  <c r="N17" i="40" s="1"/>
  <c r="O17" i="40" s="1"/>
  <c r="M17" i="40"/>
  <c r="K16" i="40"/>
  <c r="N16" i="40" s="1"/>
  <c r="O16" i="40" s="1"/>
  <c r="M16" i="40"/>
  <c r="K15" i="40"/>
  <c r="N15" i="40" s="1"/>
  <c r="O15" i="40" s="1"/>
  <c r="M15" i="40"/>
  <c r="K14" i="40"/>
  <c r="N14" i="40" s="1"/>
  <c r="O14" i="40" s="1"/>
  <c r="M14" i="40"/>
  <c r="K13" i="40"/>
  <c r="N13" i="40" s="1"/>
  <c r="O13" i="40" s="1"/>
  <c r="M13" i="40"/>
  <c r="K12" i="40"/>
  <c r="N12" i="40" s="1"/>
  <c r="O12" i="40" s="1"/>
  <c r="M12" i="40"/>
  <c r="K11" i="40"/>
  <c r="N11" i="40" s="1"/>
  <c r="O11" i="40" s="1"/>
  <c r="M11" i="40"/>
  <c r="K10" i="40"/>
  <c r="N10" i="40" s="1"/>
  <c r="O10" i="40" s="1"/>
  <c r="M10" i="40"/>
  <c r="K9" i="40"/>
  <c r="N9" i="40" s="1"/>
  <c r="O9" i="40" s="1"/>
  <c r="M9" i="40"/>
  <c r="K8" i="40"/>
  <c r="M8" i="40"/>
  <c r="M10" i="38"/>
  <c r="K10" i="38"/>
  <c r="N10" i="38" s="1"/>
  <c r="O10" i="38" s="1"/>
  <c r="M12" i="38"/>
  <c r="K12" i="38"/>
  <c r="N12" i="38" s="1"/>
  <c r="O12" i="38" s="1"/>
  <c r="K9" i="38"/>
  <c r="N9" i="38" s="1"/>
  <c r="O9" i="38" s="1"/>
  <c r="M9" i="38"/>
  <c r="M11" i="38"/>
  <c r="K11" i="38"/>
  <c r="N11" i="38" s="1"/>
  <c r="O11" i="38" s="1"/>
  <c r="M20" i="38"/>
  <c r="K20" i="38"/>
  <c r="N20" i="38" s="1"/>
  <c r="O20" i="38" s="1"/>
  <c r="M13" i="38"/>
  <c r="K13" i="38"/>
  <c r="N13" i="38" s="1"/>
  <c r="O13" i="38" s="1"/>
  <c r="M14" i="38"/>
  <c r="K14" i="38"/>
  <c r="N14" i="38" s="1"/>
  <c r="O14" i="38" s="1"/>
  <c r="M15" i="38"/>
  <c r="K15" i="38"/>
  <c r="N15" i="38" s="1"/>
  <c r="O15" i="38" s="1"/>
  <c r="M16" i="38"/>
  <c r="K16" i="38"/>
  <c r="N16" i="38" s="1"/>
  <c r="O16" i="38" s="1"/>
  <c r="M17" i="38"/>
  <c r="K17" i="38"/>
  <c r="N17" i="38" s="1"/>
  <c r="O17" i="38" s="1"/>
  <c r="M18" i="38"/>
  <c r="K18" i="38"/>
  <c r="N18" i="38" s="1"/>
  <c r="O18" i="38" s="1"/>
  <c r="M19" i="38"/>
  <c r="K19" i="38"/>
  <c r="N19" i="38" s="1"/>
  <c r="O19" i="38" s="1"/>
  <c r="M21" i="38"/>
  <c r="K21" i="38"/>
  <c r="N21" i="38" s="1"/>
  <c r="O21" i="38" s="1"/>
  <c r="M22" i="38"/>
  <c r="K22" i="38"/>
  <c r="N22" i="38" s="1"/>
  <c r="O22" i="38" s="1"/>
  <c r="M23" i="38"/>
  <c r="K23" i="38"/>
  <c r="N23" i="38" s="1"/>
  <c r="O23" i="38" s="1"/>
  <c r="M24" i="38"/>
  <c r="K24" i="38"/>
  <c r="N24" i="38" s="1"/>
  <c r="O24" i="38" s="1"/>
  <c r="M25" i="38"/>
  <c r="K25" i="38"/>
  <c r="N25" i="38" s="1"/>
  <c r="O25" i="38" s="1"/>
  <c r="M26" i="38"/>
  <c r="K26" i="38"/>
  <c r="N26" i="38" s="1"/>
  <c r="O26" i="38" s="1"/>
  <c r="M27" i="38"/>
  <c r="K27" i="38"/>
  <c r="N27" i="38" s="1"/>
  <c r="O27" i="38" s="1"/>
  <c r="M28" i="38"/>
  <c r="K28" i="38"/>
  <c r="N28" i="38" s="1"/>
  <c r="O28" i="38" s="1"/>
  <c r="L31" i="38"/>
  <c r="K29" i="38"/>
  <c r="N29" i="38" s="1"/>
  <c r="O29" i="38" s="1"/>
  <c r="M29" i="38"/>
  <c r="K8" i="38"/>
  <c r="M8" i="38"/>
  <c r="M8" i="16"/>
  <c r="K8" i="16"/>
  <c r="M9" i="16"/>
  <c r="K9" i="16"/>
  <c r="N9" i="16" s="1"/>
  <c r="O9" i="16" s="1"/>
  <c r="M10" i="16"/>
  <c r="K10" i="16"/>
  <c r="N10" i="16" s="1"/>
  <c r="O10" i="16" s="1"/>
  <c r="M11" i="16"/>
  <c r="K11" i="16"/>
  <c r="N11" i="16" s="1"/>
  <c r="O11" i="16" s="1"/>
  <c r="M12" i="16"/>
  <c r="K12" i="16"/>
  <c r="N12" i="16" s="1"/>
  <c r="O12" i="16" s="1"/>
  <c r="M22" i="40" l="1"/>
  <c r="N8" i="40"/>
  <c r="S8" i="40"/>
  <c r="S22" i="40" s="1"/>
  <c r="K22" i="40"/>
  <c r="M31" i="38"/>
  <c r="N8" i="38"/>
  <c r="K31" i="38"/>
  <c r="S8" i="38"/>
  <c r="S31" i="38" s="1"/>
  <c r="S8" i="16"/>
  <c r="N8" i="16"/>
  <c r="O8" i="16" s="1"/>
  <c r="O8" i="40" l="1"/>
  <c r="N22" i="40"/>
  <c r="O22" i="40"/>
  <c r="R22" i="40" s="1"/>
  <c r="K23" i="40"/>
  <c r="K24" i="40" s="1"/>
  <c r="O8" i="38"/>
  <c r="N31" i="38"/>
  <c r="O31" i="38"/>
  <c r="R31" i="38" s="1"/>
  <c r="K32" i="38"/>
  <c r="K33" i="38" s="1"/>
  <c r="R16" i="16" l="1"/>
  <c r="R15" i="16"/>
  <c r="L14" i="16" l="1"/>
  <c r="S14" i="16" l="1"/>
  <c r="K14" i="16"/>
  <c r="M14" i="16"/>
  <c r="O14" i="16" l="1"/>
  <c r="R14" i="16" s="1"/>
  <c r="K15" i="16"/>
  <c r="N14" i="16"/>
  <c r="K16" i="1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F04804-9A62-481C-A65D-82D316C23A86}" keepAlive="1" name="Query - Rate Card Items" description="Connection to the 'Rate Card Items' query in the workbook." type="5" refreshedVersion="8" background="1" saveData="1">
    <dbPr connection="Provider=Microsoft.Mashup.OleDb.1;Data Source=$Workbook$;Location=&quot;Rate Card Items&quot;;Extended Properties=&quot;&quot;" command="SELECT * FROM [Rate Card Items]"/>
  </connection>
  <connection id="2" xr16:uid="{37B2EAFE-333C-4EBF-B324-95F29C01F18D}" keepAlive="1" name="Query - Rate_Card" description="Connection to the 'Rate_Card' query in the workbook." type="5" refreshedVersion="8" background="1" refreshOnLoad="1" saveData="1">
    <dbPr connection="Provider=Microsoft.Mashup.OleDb.1;Data Source=$Workbook$;Location=Rate_Card;Extended Properties=&quot;&quot;" command="SELECT * FROM [Rate_Card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<sst xmlns="http://schemas.openxmlformats.org/spreadsheetml/2006/main" count="3437" uniqueCount="883">
  <si>
    <t>Category</t>
  </si>
  <si>
    <t>Description</t>
  </si>
  <si>
    <t>Additional Details</t>
  </si>
  <si>
    <t>item ref no.</t>
  </si>
  <si>
    <t>Branding</t>
  </si>
  <si>
    <t>Branded Jute  bag -With no cut  A3</t>
  </si>
  <si>
    <t>Small sided logo (e.g kcb logo)</t>
  </si>
  <si>
    <t>4br.8</t>
  </si>
  <si>
    <t>Branded Jute  bag -With no cut  A4</t>
  </si>
  <si>
    <t>4br.7</t>
  </si>
  <si>
    <t>Branded Polo Tshirt-Embroidery basic artwork</t>
  </si>
  <si>
    <t>Polo Tshirt with basic embroidery on one side</t>
  </si>
  <si>
    <t>4br.81</t>
  </si>
  <si>
    <t>Branded Round neck Tshirt(Cotton) 180gsm -Embroidery</t>
  </si>
  <si>
    <t>Cotton Tshirt with embroidery</t>
  </si>
  <si>
    <t>4br.79</t>
  </si>
  <si>
    <t>Branded Round neck Tshirt(Cotton) 180gsm-Branded with No-cut</t>
  </si>
  <si>
    <t>Branded roundneck Tshirt with No-cut or screen printing</t>
  </si>
  <si>
    <t>4br.80</t>
  </si>
  <si>
    <t>Branded caps -Embroidery</t>
  </si>
  <si>
    <t xml:space="preserve">Silk cap inclusive of branding </t>
  </si>
  <si>
    <t>4br.72</t>
  </si>
  <si>
    <t>Branded caps -No cut</t>
  </si>
  <si>
    <t>Cost per piece</t>
  </si>
  <si>
    <t>4br.73</t>
  </si>
  <si>
    <t>Branded customised hoodies</t>
  </si>
  <si>
    <t>Cost of stiching and branding a themed hoodies specially customised for the client eg Ankara hoodies</t>
  </si>
  <si>
    <t>4br.78</t>
  </si>
  <si>
    <t>Branded foldable umbrella</t>
  </si>
  <si>
    <t>4br.74</t>
  </si>
  <si>
    <t xml:space="preserve">Branded hoodies- Embroidery </t>
  </si>
  <si>
    <t xml:space="preserve">Cost of normal hoodie plus embroidery </t>
  </si>
  <si>
    <t>4br.77</t>
  </si>
  <si>
    <t xml:space="preserve">Branded hoodies- No cut </t>
  </si>
  <si>
    <t>Cost of normal hoodie plus branding</t>
  </si>
  <si>
    <t>4br.76</t>
  </si>
  <si>
    <t>Branded long umbrella</t>
  </si>
  <si>
    <t>4br.75</t>
  </si>
  <si>
    <t>Branded notebooks</t>
  </si>
  <si>
    <t>4br.84</t>
  </si>
  <si>
    <t>Branding of plastic water bottle-UV branding</t>
  </si>
  <si>
    <t>Cost covers only the branding rate - The overall cost depends on the cost of the bottle</t>
  </si>
  <si>
    <t>4br.85</t>
  </si>
  <si>
    <t>Desktop calender</t>
  </si>
  <si>
    <t>4br.86</t>
  </si>
  <si>
    <t>Light box Rebranding</t>
  </si>
  <si>
    <t>Cost of re-branding (SAV) 4-sided light box. 6x4ft profile.</t>
  </si>
  <si>
    <t>4br.5</t>
  </si>
  <si>
    <t xml:space="preserve">Truck Branding 22ft Road Show </t>
  </si>
  <si>
    <t>not glossy</t>
  </si>
  <si>
    <t>4br.3</t>
  </si>
  <si>
    <t xml:space="preserve">Truck Branding 40ft Road Show </t>
  </si>
  <si>
    <t>4br.4</t>
  </si>
  <si>
    <t>Van Branding and debranding</t>
  </si>
  <si>
    <t>glossy</t>
  </si>
  <si>
    <t>4br.2</t>
  </si>
  <si>
    <t>4br.1</t>
  </si>
  <si>
    <t>Wall branding</t>
  </si>
  <si>
    <t>per sqm</t>
  </si>
  <si>
    <t>4br.6</t>
  </si>
  <si>
    <t>Experiential</t>
  </si>
  <si>
    <t xml:space="preserve">360 Photobooth </t>
  </si>
  <si>
    <t>360 Photobooth - 80cm</t>
  </si>
  <si>
    <t>4ex.101</t>
  </si>
  <si>
    <t>360 photobooth - 100cm</t>
  </si>
  <si>
    <t>4ex.102</t>
  </si>
  <si>
    <t>Backline</t>
  </si>
  <si>
    <t>Average cost per musician e.g. Drums, Drums Accessories throne/cymbals/stands,  Trace Elliot Ah1200, Trace elliot Cab 4*10'', 1 *15'', Motif Xf8, Motif Xf6, PSR D910, Bass Gtr, Gtr, Fender Twin Reverb, # sets of Conga, Bongo, Timbali etc.</t>
  </si>
  <si>
    <t>4ex.149</t>
  </si>
  <si>
    <t>Banquet Décor Basic</t>
  </si>
  <si>
    <t>Estimated cost of decoration e.g Drapes, Chair covers, centrepieces. Seating for less then 100 people</t>
  </si>
  <si>
    <t>4ex.27</t>
  </si>
  <si>
    <t>Banquet Décor Premium</t>
  </si>
  <si>
    <t>Estimated cost of decoration e.g Drapes, Chair covers, centrepieces. Seating for +300 people</t>
  </si>
  <si>
    <t>4ex.29</t>
  </si>
  <si>
    <t>Banquet Décor Standard</t>
  </si>
  <si>
    <t>Estimated cost of decoration e.g Drapes, Chair covers, centrepieces. Seating for 100-300 people</t>
  </si>
  <si>
    <t>4ex.28</t>
  </si>
  <si>
    <t xml:space="preserve">Banquet Lighting 50 people (Basic) </t>
  </si>
  <si>
    <t>Estimated cost of lighting for Business dinner, small conferences etc. Mood lighting. No single focal point. Less than 50 people.</t>
  </si>
  <si>
    <t>4ex.132</t>
  </si>
  <si>
    <t>Banquet Lighting &lt;200 people (Standard)</t>
  </si>
  <si>
    <t>Estimated cost of lighting for Business dinner, small conferences etc. Mood lighting. No single focal point. 50 to 200 people</t>
  </si>
  <si>
    <t>4ex.133</t>
  </si>
  <si>
    <t>Banquet Lighting &gt;200 (Premium)</t>
  </si>
  <si>
    <t>Estimated cost of lighting for Business dinner, small conferences etc. Mood lighting. No single focal point. Greater than 200 people.</t>
  </si>
  <si>
    <t>4ex.134</t>
  </si>
  <si>
    <t>Bar Large</t>
  </si>
  <si>
    <t>Estimated cost of rental. Alluminum bar, min. 10x2ft</t>
  </si>
  <si>
    <t>4ex.31</t>
  </si>
  <si>
    <t>Bar Standard</t>
  </si>
  <si>
    <t>Estimated cost of rental. Alluminum bar, max 6x2ft</t>
  </si>
  <si>
    <t>4ex.30</t>
  </si>
  <si>
    <t>Carpet hire 3x3</t>
  </si>
  <si>
    <t>Average cost of starndard carpet 3*3</t>
  </si>
  <si>
    <t>4ex.15</t>
  </si>
  <si>
    <t>Carpet hire 3x4</t>
  </si>
  <si>
    <t>Average cost of starndard carpet 3*4</t>
  </si>
  <si>
    <t>4ex.16</t>
  </si>
  <si>
    <t>Carpet hire 4x4</t>
  </si>
  <si>
    <t>Average cost of starndard carpet 4*4</t>
  </si>
  <si>
    <t>4ex.17</t>
  </si>
  <si>
    <t>Carpet hire 6x6</t>
  </si>
  <si>
    <t>Average cost of starndard carpet 6*6</t>
  </si>
  <si>
    <t>4ex.18</t>
  </si>
  <si>
    <t>Cheese tent 100pax</t>
  </si>
  <si>
    <t>measuring of 20*10m</t>
  </si>
  <si>
    <t>4ex.40</t>
  </si>
  <si>
    <t>Cheese tents</t>
  </si>
  <si>
    <t>measuring of 15*10m</t>
  </si>
  <si>
    <t>4ex.39</t>
  </si>
  <si>
    <t>Cocktail Table</t>
  </si>
  <si>
    <t>Cost of rental. Daily</t>
  </si>
  <si>
    <t>4ex.32</t>
  </si>
  <si>
    <t>Cocktail Table LED</t>
  </si>
  <si>
    <t>4ex.33</t>
  </si>
  <si>
    <t>Colour puzzle</t>
  </si>
  <si>
    <t>Rental cost per day</t>
  </si>
  <si>
    <t>4ex.130</t>
  </si>
  <si>
    <t>Concert Lighting Basic</t>
  </si>
  <si>
    <t>Estimated cost of lighting for Concert. Less then 1000 people e.g. SFX- Laser, Pyro. Fogger, hazer, follow spot</t>
  </si>
  <si>
    <t>4ex.138</t>
  </si>
  <si>
    <t>Concert Lighting Premium</t>
  </si>
  <si>
    <t>Estimated cost of lighting for Concerts. +3000 people e.g. SFX- Laser, Pyro. Fogger, hazer, follow spot</t>
  </si>
  <si>
    <t>4ex.140</t>
  </si>
  <si>
    <t>Concert Lighting Standard</t>
  </si>
  <si>
    <t>Estimated cost of lighting for Concerts. 1000 to 3000 people e.g. SFX- Laser, Pyro. Fogger, hazer, follow spot</t>
  </si>
  <si>
    <t>4ex.139</t>
  </si>
  <si>
    <t>Confetti</t>
  </si>
  <si>
    <t>Confetti Machine</t>
  </si>
  <si>
    <t>4ex.14</t>
  </si>
  <si>
    <t>Connect 4</t>
  </si>
  <si>
    <t>4ex.127</t>
  </si>
  <si>
    <t>Cooler</t>
  </si>
  <si>
    <t>Daily rental. Chilling Capacity of 3 to 5cu or Trays</t>
  </si>
  <si>
    <t>4ex.20</t>
  </si>
  <si>
    <t>Cornhole game</t>
  </si>
  <si>
    <t>4ex.126</t>
  </si>
  <si>
    <t>DJ - Grade A</t>
  </si>
  <si>
    <t>Celebrity DJ with National recognition. Cost per execution starting from</t>
  </si>
  <si>
    <t>4ex.80</t>
  </si>
  <si>
    <t>DJ - Grade B</t>
  </si>
  <si>
    <t>Highly in demand DJ. Cost per execution starting from</t>
  </si>
  <si>
    <t>4ex.81</t>
  </si>
  <si>
    <t>DJ - Grade C</t>
  </si>
  <si>
    <t>Regionally recognised or experienced. Cost per execution starting from</t>
  </si>
  <si>
    <t>4ex.82</t>
  </si>
  <si>
    <t>DJ - Grade D</t>
  </si>
  <si>
    <t>Local or Upcoming. Cost per execution starting from</t>
  </si>
  <si>
    <t>4ex.83</t>
  </si>
  <si>
    <t>DJ - Grade E</t>
  </si>
  <si>
    <t>House DJ. Cost per execution starting from</t>
  </si>
  <si>
    <t>4ex.84</t>
  </si>
  <si>
    <t>Dance Troupe - Grade A</t>
  </si>
  <si>
    <t>National recognition &amp; In-demand. Cost per execution</t>
  </si>
  <si>
    <t>4ex.77</t>
  </si>
  <si>
    <t>Dance Troupe - Grade B</t>
  </si>
  <si>
    <t>Regionally recognised or experienced. Cost per execution</t>
  </si>
  <si>
    <t>4ex.78</t>
  </si>
  <si>
    <t>Dance Troupe- Grade C</t>
  </si>
  <si>
    <t>Local or Upcoming. Cost per execution</t>
  </si>
  <si>
    <t>4ex.79</t>
  </si>
  <si>
    <t>Dense Fog Machine</t>
  </si>
  <si>
    <t>Daily cost of rental, includes setup and assessories</t>
  </si>
  <si>
    <t>4ex.162</t>
  </si>
  <si>
    <t>Drum</t>
  </si>
  <si>
    <t>Daily rental. Chilling Capacity up to 12cu or Trays</t>
  </si>
  <si>
    <t>4ex.21</t>
  </si>
  <si>
    <t>Event Lighting &lt;200 people (Basic)</t>
  </si>
  <si>
    <t>Estimated cost of lighting for Conferences, Seminars, symposiums, Trade briefings etc. Stage &amp; Ambiance Lighting. Less than 200 people</t>
  </si>
  <si>
    <t>4ex.135</t>
  </si>
  <si>
    <t>Event Lighting &lt;500 people (Standard)</t>
  </si>
  <si>
    <t>Estimated cost of lighting for Conferences, Seminars, symposiums, Trade briefings etc. Stage &amp; Ambiance Lighting. Less than 200-500 people</t>
  </si>
  <si>
    <t>4ex.136</t>
  </si>
  <si>
    <t>Event Lighting &gt;500 (Premium)</t>
  </si>
  <si>
    <t>Estimated cost of lighting for Conferences, Seminars, symposiums, Trade briefings etc. Stage &amp; Ambiance Lighting. +500 people</t>
  </si>
  <si>
    <t>4ex.137</t>
  </si>
  <si>
    <t>Fairy lights per roll</t>
  </si>
  <si>
    <t>Daily rentals Cost per roll.</t>
  </si>
  <si>
    <t>4ex.142</t>
  </si>
  <si>
    <t xml:space="preserve">Fog MachineSmoke/Hazer Fluid 5lt Bottle </t>
  </si>
  <si>
    <t>4ex.163</t>
  </si>
  <si>
    <t>Giannt jenga</t>
  </si>
  <si>
    <t>4ex.124</t>
  </si>
  <si>
    <t>Giant Scrable</t>
  </si>
  <si>
    <t>4ex.129</t>
  </si>
  <si>
    <t>Ice Blocks</t>
  </si>
  <si>
    <t>Chilling per CU/ Tray. 2-3 Standard Ice Block per cu or tray</t>
  </si>
  <si>
    <t>4ex.22</t>
  </si>
  <si>
    <t>Ice Chest</t>
  </si>
  <si>
    <t>Daily rental. Chilling Capacity up to 20cu or Trays</t>
  </si>
  <si>
    <t>4ex.23</t>
  </si>
  <si>
    <t>Indoor Concert Standard</t>
  </si>
  <si>
    <t>Large Auditorium. 501-1000 seating (20-30k watts)</t>
  </si>
  <si>
    <t>4ex.155</t>
  </si>
  <si>
    <t>Indoor Event</t>
  </si>
  <si>
    <t>Medium Auditorium. 201 to 500 seating (10-20k watts)</t>
  </si>
  <si>
    <t>4ex.154</t>
  </si>
  <si>
    <t>Indoor Meeting</t>
  </si>
  <si>
    <t>Small auditorium. Less then 200 seating (5k watts)</t>
  </si>
  <si>
    <t>4ex.153</t>
  </si>
  <si>
    <t>InstaBooth (instant prints)</t>
  </si>
  <si>
    <t xml:space="preserve">Cost of event photo coverage daily. </t>
  </si>
  <si>
    <t>4ex.104</t>
  </si>
  <si>
    <t>Interactive screen</t>
  </si>
  <si>
    <t>Branding the screen only</t>
  </si>
  <si>
    <t>4ex.13</t>
  </si>
  <si>
    <t xml:space="preserve">Jem Hazer </t>
  </si>
  <si>
    <t>4ex.161</t>
  </si>
  <si>
    <t>Karaoke System + Sound</t>
  </si>
  <si>
    <t>Daily rental Full Karoke System &amp; Speakers</t>
  </si>
  <si>
    <t>4ex.152</t>
  </si>
  <si>
    <t>Karaoke System Only</t>
  </si>
  <si>
    <t>Daily rental Full Karoke System</t>
  </si>
  <si>
    <t>4ex.151</t>
  </si>
  <si>
    <t>LED Bar Large</t>
  </si>
  <si>
    <t>4ex.34</t>
  </si>
  <si>
    <t>LED Bar Standard</t>
  </si>
  <si>
    <t>4ex.35</t>
  </si>
  <si>
    <t>LED Dance Floor  panel</t>
  </si>
  <si>
    <t xml:space="preserve">Per Module </t>
  </si>
  <si>
    <t>4ex.7</t>
  </si>
  <si>
    <t>LED Screens 6ft x 8ft</t>
  </si>
  <si>
    <t>Daily Rental &amp; setup</t>
  </si>
  <si>
    <t>4ex.4</t>
  </si>
  <si>
    <t>LED Screens 8ft x 10ft</t>
  </si>
  <si>
    <t>4ex.5</t>
  </si>
  <si>
    <t>LED Screens 9ft x 12ft</t>
  </si>
  <si>
    <t>4ex.6</t>
  </si>
  <si>
    <t>LED TV, 40". Standing</t>
  </si>
  <si>
    <t>LED TV with trussing stand</t>
  </si>
  <si>
    <t>4ex.1</t>
  </si>
  <si>
    <t>LED TV, 60". Standing</t>
  </si>
  <si>
    <t>4ex.2</t>
  </si>
  <si>
    <t>LED TV, 70". Standing</t>
  </si>
  <si>
    <t>4ex.3</t>
  </si>
  <si>
    <t>Lawn darts</t>
  </si>
  <si>
    <t>4ex.131</t>
  </si>
  <si>
    <t>Live Band - Grade A</t>
  </si>
  <si>
    <t>National recognition &amp; In-demand. Cost per execution starting from</t>
  </si>
  <si>
    <t>4ex.85</t>
  </si>
  <si>
    <t>Live Band - Grade B</t>
  </si>
  <si>
    <t>In-demand. Cost per execution starting from</t>
  </si>
  <si>
    <t>4ex.86</t>
  </si>
  <si>
    <t>Live Band - Grade D</t>
  </si>
  <si>
    <t>4ex.88</t>
  </si>
  <si>
    <t>Live Band- Grade C</t>
  </si>
  <si>
    <t>4ex.87</t>
  </si>
  <si>
    <t>Lounge Chair - One Seater</t>
  </si>
  <si>
    <t>4ex.36</t>
  </si>
  <si>
    <t>Lounge Chair - Three Seater</t>
  </si>
  <si>
    <t>4ex.38</t>
  </si>
  <si>
    <t>Lounge Chair - Two Seater</t>
  </si>
  <si>
    <t>4ex.37</t>
  </si>
  <si>
    <t>MC &amp; Comedian - Grade A</t>
  </si>
  <si>
    <t>Nationally recognised more then 5month experience. Cost per execution starting from</t>
  </si>
  <si>
    <t>4ex.89</t>
  </si>
  <si>
    <t>MC &amp; Comedian - Grade B</t>
  </si>
  <si>
    <t>In-demand less then 5month experience. Cost per execution starting from</t>
  </si>
  <si>
    <t>4ex.90</t>
  </si>
  <si>
    <t>MC &amp; Comedian - Grade C</t>
  </si>
  <si>
    <t>4ex.91</t>
  </si>
  <si>
    <t>MC &amp; Comedian - Grade D</t>
  </si>
  <si>
    <t>4ex.92</t>
  </si>
  <si>
    <t>MC &amp; Comedian - Grade E</t>
  </si>
  <si>
    <t>House MC. Cost per execution starting from</t>
  </si>
  <si>
    <t>4ex.93</t>
  </si>
  <si>
    <t>Meeting Décor Basic</t>
  </si>
  <si>
    <t>Estimated cost of decoration i.e. class room seating 50-100 people. Drapes, Chair covers.</t>
  </si>
  <si>
    <t>4ex.24</t>
  </si>
  <si>
    <t>Meeting Décor Premium</t>
  </si>
  <si>
    <t>Estimated cost of decoration i.e. class room seating.  Drapes, Chair covers. Seating for +300 people</t>
  </si>
  <si>
    <t>4ex.26</t>
  </si>
  <si>
    <t>Meeting Décor Standard</t>
  </si>
  <si>
    <t>Estimated cost of decoration i.e. class room seating. Drapes, Chair covers. Seating for 100-300 people</t>
  </si>
  <si>
    <t>4ex.25</t>
  </si>
  <si>
    <t>Outdoor Basic</t>
  </si>
  <si>
    <t>50 feet from speaker to audience. Less then 1000 people (5k watts)</t>
  </si>
  <si>
    <t>4ex.156</t>
  </si>
  <si>
    <t>Outdoor Premium</t>
  </si>
  <si>
    <t>300 feet from speaker to audience. 3000 to 8000 people (20k-40k watts)</t>
  </si>
  <si>
    <t>4ex.158</t>
  </si>
  <si>
    <t>Outdoor Premium +</t>
  </si>
  <si>
    <t>300 feet from speaker to audience. Greater then 8000 people (+40k watts)</t>
  </si>
  <si>
    <t>4ex.159</t>
  </si>
  <si>
    <t>Outdoor Standard</t>
  </si>
  <si>
    <t>100 feet from speaker to audience. 1000 to 3000 people (10k-20k watts)</t>
  </si>
  <si>
    <t>4ex.157</t>
  </si>
  <si>
    <t>PA System Hire/Portable Setup</t>
  </si>
  <si>
    <t>Mobile PA system hire (&lt; 5k watts)</t>
  </si>
  <si>
    <t>4ex.150</t>
  </si>
  <si>
    <t xml:space="preserve">Pacan lights </t>
  </si>
  <si>
    <t>4ex.141</t>
  </si>
  <si>
    <t xml:space="preserve">Photography- Basic </t>
  </si>
  <si>
    <t xml:space="preserve">Cost of event photo coverage. Daily. </t>
  </si>
  <si>
    <t>4ex.94</t>
  </si>
  <si>
    <t xml:space="preserve">Photography- Premium </t>
  </si>
  <si>
    <t>4ex.96</t>
  </si>
  <si>
    <t xml:space="preserve">Photography- Standard </t>
  </si>
  <si>
    <t>4ex.95</t>
  </si>
  <si>
    <t>Portable Crash Barrier</t>
  </si>
  <si>
    <t>Cost of rental Crowd control barrier</t>
  </si>
  <si>
    <t>4ex.164</t>
  </si>
  <si>
    <t>Profloor hire per sqm</t>
  </si>
  <si>
    <t>Cost per sqm</t>
  </si>
  <si>
    <t>4ex.19</t>
  </si>
  <si>
    <t>Projector &amp; Screen - Basic</t>
  </si>
  <si>
    <t>Less then 3k Lumens Projector. Good for some ambient Light @ 100 to 200 seat capacity venue. Meetings. Includes accessories e.g. Pc, Extenders, dual head,.</t>
  </si>
  <si>
    <t>4ex.8</t>
  </si>
  <si>
    <t>Projector &amp; Screen - Premium</t>
  </si>
  <si>
    <t>10k-15k Lumens Projector. Good for bright ambient Light @ 1000 to 3000 seat capacity venue. Includes accessories e.g. Pc, Extenders, dual head,.</t>
  </si>
  <si>
    <t>4ex.11</t>
  </si>
  <si>
    <t>Projector &amp; Screen - Premium +</t>
  </si>
  <si>
    <t>15k-20k Lumens Projector. Good for bright ambient Light @ greater then 3000 seat capacity venue. Includes accessories e.g. Pc, Extenders, dual head,.</t>
  </si>
  <si>
    <t>4ex.12</t>
  </si>
  <si>
    <t>Projector &amp; Screen - Standard</t>
  </si>
  <si>
    <t>3k-4k Lumens Projector. Good for bright ambient Light @ 300 to 400 seat capacity venue. Conferrences</t>
  </si>
  <si>
    <t>4ex.9</t>
  </si>
  <si>
    <t>Projector &amp; Screen - Standard +</t>
  </si>
  <si>
    <t>5k-10k Lumens Projector. Good for bright ambient Light @ 400 to 1000 seat capacity venue. Includes accessories e.g. Pc, Extenders, dual head,.</t>
  </si>
  <si>
    <t>4ex.10</t>
  </si>
  <si>
    <t xml:space="preserve">Pyrotechnics Flames- Premium </t>
  </si>
  <si>
    <t>Cost of setup and execution of single Pyrotechinc display (1-2min) e.g. Fireworks. Flames, sparkers</t>
  </si>
  <si>
    <t>4ex.148</t>
  </si>
  <si>
    <t xml:space="preserve">Pyrotechnics sparklers- Standard </t>
  </si>
  <si>
    <t>4ex.147</t>
  </si>
  <si>
    <t>Ringtoss game</t>
  </si>
  <si>
    <t>4ex.128</t>
  </si>
  <si>
    <t>Riser - 4x8 ft.</t>
  </si>
  <si>
    <t>Est. dimension - 4x8ft. Cost per unit</t>
  </si>
  <si>
    <t>4ex.167</t>
  </si>
  <si>
    <t>Riser - 6x8 ft.</t>
  </si>
  <si>
    <t>Est. dimension - 6x8ft. Cost per unit</t>
  </si>
  <si>
    <t>4ex.168</t>
  </si>
  <si>
    <t>Sky360 Overhead (15 people)</t>
  </si>
  <si>
    <t>4ex.103</t>
  </si>
  <si>
    <t>Stage Only - Basic</t>
  </si>
  <si>
    <t>Est. dimension -7m(l)x7m(w)x3m(h). Less then 2000 people</t>
  </si>
  <si>
    <t>4ex.169</t>
  </si>
  <si>
    <t>Stage Only - Premium</t>
  </si>
  <si>
    <t>Est. dimension -18m(l)x9m(w)x8m(h). +5000 people</t>
  </si>
  <si>
    <t>4ex.171</t>
  </si>
  <si>
    <t>Stage Only - Standard</t>
  </si>
  <si>
    <t>Est. dimension -9m(l)x9m(w)x8m(h). 2000 to 5000 people</t>
  </si>
  <si>
    <t>4ex.170</t>
  </si>
  <si>
    <t>Stage With Roofing - Basic</t>
  </si>
  <si>
    <t>4ex.172</t>
  </si>
  <si>
    <t>Stage With Roofing - Premium</t>
  </si>
  <si>
    <t>4ex.174</t>
  </si>
  <si>
    <t>Stage With Roofing - Standard</t>
  </si>
  <si>
    <t>4ex.173</t>
  </si>
  <si>
    <t>Stanchions</t>
  </si>
  <si>
    <t xml:space="preserve">Cost of rental Event Stanchions </t>
  </si>
  <si>
    <t>4ex.165</t>
  </si>
  <si>
    <t>Standard Fog Machine</t>
  </si>
  <si>
    <t>4ex.160</t>
  </si>
  <si>
    <t>Stantion poles</t>
  </si>
  <si>
    <t>4ex.41</t>
  </si>
  <si>
    <t>Tictac toe</t>
  </si>
  <si>
    <t>4ex.125</t>
  </si>
  <si>
    <t>Trussing</t>
  </si>
  <si>
    <t>Cost per meter</t>
  </si>
  <si>
    <t>4ex.166</t>
  </si>
  <si>
    <t xml:space="preserve">Uniforms for Hostess, Brand Promoter, Waiter - Premium </t>
  </si>
  <si>
    <t>Evening dress or full Traditional attire (including accessories)</t>
  </si>
  <si>
    <t>4ex.145</t>
  </si>
  <si>
    <t>Uniforms for Hostess, Brand Promoter, Waiter - Premium +</t>
  </si>
  <si>
    <t>Costume, Themed Events etc (including accessories)</t>
  </si>
  <si>
    <t>4ex.146</t>
  </si>
  <si>
    <t xml:space="preserve">Uniforms for Hostess, Brand Promoter, Waiter - Standard </t>
  </si>
  <si>
    <t>2 item of clothing i.e. T-Shirt &amp; Skirt/Trouser /dangaree</t>
  </si>
  <si>
    <t>4ex.144</t>
  </si>
  <si>
    <t>Uniforms for hostess, Brand Promoter, Waiter - Basic</t>
  </si>
  <si>
    <t xml:space="preserve">One item of clothing i.e. T-Shirt only </t>
  </si>
  <si>
    <t>4ex.143</t>
  </si>
  <si>
    <t>Video Basic</t>
  </si>
  <si>
    <t>Daily cost of 1 cameramen, equipment rental &amp; post (1edit)</t>
  </si>
  <si>
    <t>4ex.97</t>
  </si>
  <si>
    <t>Video Premium</t>
  </si>
  <si>
    <t>Daily cost of +3 cameramen, support staff (director, producer, sound etc.) equipment rental &amp; post (2-3edit/event)</t>
  </si>
  <si>
    <t>4ex.99</t>
  </si>
  <si>
    <t>Video Premium - Live</t>
  </si>
  <si>
    <t>Daily cost of Live feed setup - +3 cameramen + support, equipment rental &amp; live feed setup (excluding AV)</t>
  </si>
  <si>
    <t>4ex.100</t>
  </si>
  <si>
    <t>Video Standard</t>
  </si>
  <si>
    <t>Daily cost of 2-3 cameramen, support staff (director, producer, sound etc.) equipment rental &amp; post (2-3edit)</t>
  </si>
  <si>
    <t>4ex.98</t>
  </si>
  <si>
    <t>Fabrication</t>
  </si>
  <si>
    <t>Fabrication 1</t>
  </si>
  <si>
    <t>4fa.1</t>
  </si>
  <si>
    <t>Fabrication 2</t>
  </si>
  <si>
    <t>4fa.2</t>
  </si>
  <si>
    <t>Fabrication 3</t>
  </si>
  <si>
    <t>4fa.3</t>
  </si>
  <si>
    <t>Fabrication 4</t>
  </si>
  <si>
    <t>4fa.4</t>
  </si>
  <si>
    <t>Fabrication 5</t>
  </si>
  <si>
    <t>4fa.5</t>
  </si>
  <si>
    <t>Fabrication 6</t>
  </si>
  <si>
    <t>4fa.6</t>
  </si>
  <si>
    <t>Fabrication 7</t>
  </si>
  <si>
    <t>4fa.7</t>
  </si>
  <si>
    <t>Fabrication 8</t>
  </si>
  <si>
    <t>4fa.8</t>
  </si>
  <si>
    <t>Logistics</t>
  </si>
  <si>
    <t>10 -15 ton. Nairobi and other Regions</t>
  </si>
  <si>
    <t>Distance covered 200-400km. Includes fueling</t>
  </si>
  <si>
    <t>4lo.16</t>
  </si>
  <si>
    <t>Distance covered 400-600km. Includes fueling</t>
  </si>
  <si>
    <t>4lo.17</t>
  </si>
  <si>
    <t>Distance covered 50-200km. Includes fueling</t>
  </si>
  <si>
    <t>4lo.15</t>
  </si>
  <si>
    <t>Distance covered 600-800km. Includes fueling</t>
  </si>
  <si>
    <t>4lo.18</t>
  </si>
  <si>
    <t>2.5KVA day</t>
  </si>
  <si>
    <t xml:space="preserve">Daily Rental excl Fueling </t>
  </si>
  <si>
    <t>4lo.32</t>
  </si>
  <si>
    <t>20 ton. Nairobi and other Regions</t>
  </si>
  <si>
    <t>4lo.20</t>
  </si>
  <si>
    <t>4lo.21</t>
  </si>
  <si>
    <t>4lo.19</t>
  </si>
  <si>
    <t>4lo.22</t>
  </si>
  <si>
    <t xml:space="preserve">22ft Road Show Truck Fuel Max 250km   (HALF DAY Travel) </t>
  </si>
  <si>
    <t>Half Day Travel (Max 250Km)</t>
  </si>
  <si>
    <t>4lo.6</t>
  </si>
  <si>
    <t xml:space="preserve">22ft Road Show Truck Fuel Plus 250km   (FULL DAY Travel) </t>
  </si>
  <si>
    <t>Full Day Travel (Plus 250Km)</t>
  </si>
  <si>
    <t>4lo.9</t>
  </si>
  <si>
    <t>22ft Road Show Truck Fuel around NRB (CBD,Limuru, Kitengela, Ngong, Kiambu, Thika)</t>
  </si>
  <si>
    <t>Per Day</t>
  </si>
  <si>
    <t>4lo.3</t>
  </si>
  <si>
    <t xml:space="preserve">22ft Road Show Truck hire </t>
  </si>
  <si>
    <t>Plus driver, Generator &amp; PA system / Day</t>
  </si>
  <si>
    <t>4lo.30</t>
  </si>
  <si>
    <t xml:space="preserve">40ft Road Show Truck Fuel Max 250km   (HALF DAY Travel) </t>
  </si>
  <si>
    <t>4lo.7</t>
  </si>
  <si>
    <t xml:space="preserve">40ft Road Show Truck Fuel Plus 250km   (FULL DAY Travel) </t>
  </si>
  <si>
    <t>4lo.10</t>
  </si>
  <si>
    <t>40ft Road Show Truck Fuel around NRB (CBD, Limuru, Kitengela, Ngong, Kiambu, Thika)</t>
  </si>
  <si>
    <t>4lo.4</t>
  </si>
  <si>
    <t>40ft Road Show Truck hire</t>
  </si>
  <si>
    <t>4lo.31</t>
  </si>
  <si>
    <t>5 ton.Nairobi and other Regions</t>
  </si>
  <si>
    <t>4lo.12</t>
  </si>
  <si>
    <t>4lo.13</t>
  </si>
  <si>
    <t>4lo.14</t>
  </si>
  <si>
    <t>Return Trip. Distance covered 50-200km. Includes fueling</t>
  </si>
  <si>
    <t>4lo.11</t>
  </si>
  <si>
    <t>5KVA day</t>
  </si>
  <si>
    <t>4lo.33</t>
  </si>
  <si>
    <t>Car Hire - Inter State</t>
  </si>
  <si>
    <t>Daily cost of rental outside city or state (Night Stop. Should include cost of Drivers wellrfare)</t>
  </si>
  <si>
    <t>4lo.24</t>
  </si>
  <si>
    <t>Car Hire - Intra State</t>
  </si>
  <si>
    <t xml:space="preserve">Daily cost of rental within city </t>
  </si>
  <si>
    <t>4lo.23</t>
  </si>
  <si>
    <t>Crew Bus - Inter State</t>
  </si>
  <si>
    <t>Daily cost of rental outside city (Night Stop. Should include cost of Drivers wellfare). 6-15seater bus</t>
  </si>
  <si>
    <t>4lo.26</t>
  </si>
  <si>
    <t>Crew Bus - Intra State</t>
  </si>
  <si>
    <t>Daily cost of rental within city or 6-15seater bus</t>
  </si>
  <si>
    <t>4lo.25</t>
  </si>
  <si>
    <t>Fuel &amp; Vehicle (Van) Per day(Central)</t>
  </si>
  <si>
    <t>Per day</t>
  </si>
  <si>
    <t>4lo.41</t>
  </si>
  <si>
    <t>Fuel &amp; Vehicle (Van) Per day(Coast)</t>
  </si>
  <si>
    <t>4lo.42</t>
  </si>
  <si>
    <t>Fuel &amp; Vehicle (Van) Per day(Eastern)</t>
  </si>
  <si>
    <t>4lo.44</t>
  </si>
  <si>
    <t>Fuel &amp; Vehicle (Van) Per day(North-eastern)</t>
  </si>
  <si>
    <t>4lo.45</t>
  </si>
  <si>
    <t>Fuel &amp; Vehicle (Van) Per day(Rift Valley)</t>
  </si>
  <si>
    <t>4lo.43</t>
  </si>
  <si>
    <t>Fuel &amp; Vehicle (Van) Per day(Western and Nyanza)</t>
  </si>
  <si>
    <t>4lo.40</t>
  </si>
  <si>
    <t xml:space="preserve">Fuel ( Van) Per day </t>
  </si>
  <si>
    <t>Rate of fuel allowed per day</t>
  </si>
  <si>
    <t>4lo.29</t>
  </si>
  <si>
    <t>Generator hire 100KVA day</t>
  </si>
  <si>
    <t>Daily Rental (Sound Proof, Standby Mobile Truck) excl fueling</t>
  </si>
  <si>
    <t>4lo.37</t>
  </si>
  <si>
    <t>Generator hire 150KVA day</t>
  </si>
  <si>
    <t>4lo.38</t>
  </si>
  <si>
    <t>Generator hire 200KVA day</t>
  </si>
  <si>
    <t>4lo.39</t>
  </si>
  <si>
    <t>Generator hire 20KVA day</t>
  </si>
  <si>
    <t>4lo.34</t>
  </si>
  <si>
    <t>Generator hire 60KVA day</t>
  </si>
  <si>
    <t>4lo.35</t>
  </si>
  <si>
    <t>Generator hire 80KVA day</t>
  </si>
  <si>
    <t>4lo.36</t>
  </si>
  <si>
    <t>Truck Generator Fuel  (Day consumption)</t>
  </si>
  <si>
    <t>Day Consumption</t>
  </si>
  <si>
    <t>4lo.1</t>
  </si>
  <si>
    <t xml:space="preserve">Van Fuel Max 250km   (HALF DAY Travel) </t>
  </si>
  <si>
    <t>4lo.5</t>
  </si>
  <si>
    <t xml:space="preserve">Van Fuel Plus 250km   (FULL DAY Travel) </t>
  </si>
  <si>
    <t>4lo.8</t>
  </si>
  <si>
    <t>Van Fuel around NRB (CBD, Limuru, Kitengela, Ngong, Kiambu, Thika)</t>
  </si>
  <si>
    <t>4lo.2</t>
  </si>
  <si>
    <t>Vehicle Hire  Van ( Per Month  )</t>
  </si>
  <si>
    <t>Hiring exclusive of fuel per month</t>
  </si>
  <si>
    <t>4lo.28</t>
  </si>
  <si>
    <t>Vehicle Hire  Van ( Per day )</t>
  </si>
  <si>
    <t>Hiring exclusive of fuel per day</t>
  </si>
  <si>
    <t>4lo.27</t>
  </si>
  <si>
    <t>Permit &amp; Licence</t>
  </si>
  <si>
    <t>Kamp Prisk</t>
  </si>
  <si>
    <t>Weekly Payment</t>
  </si>
  <si>
    <t>4pe.48</t>
  </si>
  <si>
    <t>MCSK License/ Permit</t>
  </si>
  <si>
    <t>Permit per month</t>
  </si>
  <si>
    <t>4pe.2</t>
  </si>
  <si>
    <t>NEMA License/ Permit</t>
  </si>
  <si>
    <t>4pe.3</t>
  </si>
  <si>
    <t>NEMA Permit - Central</t>
  </si>
  <si>
    <t>4pe.4</t>
  </si>
  <si>
    <t>NEMA Permit - Coast</t>
  </si>
  <si>
    <t>4pe.5</t>
  </si>
  <si>
    <t>NEMA Permit - Eastern</t>
  </si>
  <si>
    <t>4pe.6</t>
  </si>
  <si>
    <t>NEMA Permit - Nairobi</t>
  </si>
  <si>
    <t>4pe.7</t>
  </si>
  <si>
    <t>NEMA Permit - North Eastern</t>
  </si>
  <si>
    <t>4pe.8</t>
  </si>
  <si>
    <t>NEMA Permit - Rift Valley</t>
  </si>
  <si>
    <t>4pe.9</t>
  </si>
  <si>
    <t>NEMA Permit - Western and Nyanza</t>
  </si>
  <si>
    <t>4pe.10</t>
  </si>
  <si>
    <t>Nema Central</t>
  </si>
  <si>
    <t>4pe.41</t>
  </si>
  <si>
    <t>Nema Coast</t>
  </si>
  <si>
    <t>4pe.42</t>
  </si>
  <si>
    <t>Nema Eastern</t>
  </si>
  <si>
    <t>4pe.43</t>
  </si>
  <si>
    <t>Nema Nairobi</t>
  </si>
  <si>
    <t>4pe.44</t>
  </si>
  <si>
    <t>Nema North Eastern</t>
  </si>
  <si>
    <t>4pe.45</t>
  </si>
  <si>
    <t>Nema Rift Valley</t>
  </si>
  <si>
    <t>4pe.46</t>
  </si>
  <si>
    <t>Nema Western and Nyanza</t>
  </si>
  <si>
    <t>4pe.47</t>
  </si>
  <si>
    <t>PA System County Liscence and Permit - Central</t>
  </si>
  <si>
    <t>PA System County Licences per month</t>
  </si>
  <si>
    <t>4pe.11</t>
  </si>
  <si>
    <t>PA System County Liscence and Permit - Coast</t>
  </si>
  <si>
    <t>4pe.12</t>
  </si>
  <si>
    <t>PA System County Liscence and Permit - Eastern</t>
  </si>
  <si>
    <t>4pe.13</t>
  </si>
  <si>
    <t>PA System County Liscence and Permit - Western and Nyanza</t>
  </si>
  <si>
    <t>4pe.17</t>
  </si>
  <si>
    <t>PA System County Liscence and Permit Nairobi</t>
  </si>
  <si>
    <t>4pe.14</t>
  </si>
  <si>
    <t>PA System County Liscence and Permit Permit - Rift Valley</t>
  </si>
  <si>
    <t>4pe.16</t>
  </si>
  <si>
    <t>PA System County Liscence and Permit- North Eastern</t>
  </si>
  <si>
    <t>4pe.15</t>
  </si>
  <si>
    <t>PRSK License/ Permit</t>
  </si>
  <si>
    <t>4pe.19</t>
  </si>
  <si>
    <t>Poster permits - All Regions</t>
  </si>
  <si>
    <t>Per Poster</t>
  </si>
  <si>
    <t>4pe.18</t>
  </si>
  <si>
    <t>Roadshow Truck Council Fees</t>
  </si>
  <si>
    <t>4pe.20</t>
  </si>
  <si>
    <t>Sandwich Permit</t>
  </si>
  <si>
    <t>Sandwich Men Permits Central</t>
  </si>
  <si>
    <t>4pe.34</t>
  </si>
  <si>
    <t>Sandwich Men Permits Coast</t>
  </si>
  <si>
    <t>4pe.35</t>
  </si>
  <si>
    <t>Sandwich Men Permits Eastern</t>
  </si>
  <si>
    <t>4pe.36</t>
  </si>
  <si>
    <t>Sandwich Men Permits Nairobi</t>
  </si>
  <si>
    <t>4pe.37</t>
  </si>
  <si>
    <t>Sandwich Permit - Nyanza</t>
  </si>
  <si>
    <t>Sandwich Men Permits Western and Nyanza</t>
  </si>
  <si>
    <t>4pe.40</t>
  </si>
  <si>
    <t xml:space="preserve">Sandwich Permit- Rift valley </t>
  </si>
  <si>
    <t>Sandwich Men Permits Rift Valley</t>
  </si>
  <si>
    <t>4pe.39</t>
  </si>
  <si>
    <t>Sandwich Permit-Nort Estern</t>
  </si>
  <si>
    <t>Sandwich Men Permits North Eastern</t>
  </si>
  <si>
    <t>4pe.38</t>
  </si>
  <si>
    <t>Sandwichmen Permit - Central</t>
  </si>
  <si>
    <t xml:space="preserve">Central </t>
  </si>
  <si>
    <t>4pe.21</t>
  </si>
  <si>
    <t>Sandwichmen Permit - Coast</t>
  </si>
  <si>
    <t>Coast</t>
  </si>
  <si>
    <t>4pe.22</t>
  </si>
  <si>
    <t>Sandwichmen Permit - Eastern</t>
  </si>
  <si>
    <t>Eastern</t>
  </si>
  <si>
    <t>4pe.23</t>
  </si>
  <si>
    <t>Sandwichmen Permit - North Eastern</t>
  </si>
  <si>
    <t>4pe.1</t>
  </si>
  <si>
    <t>Sandwichmen Permit - Noth Eastern</t>
  </si>
  <si>
    <t>North Eastern</t>
  </si>
  <si>
    <t>4pe.25</t>
  </si>
  <si>
    <t>Sandwichmen Permit - Rift Valley</t>
  </si>
  <si>
    <t>Riftvalley</t>
  </si>
  <si>
    <t>4pe.24</t>
  </si>
  <si>
    <t>Sandwichmen Permit - Western and Nyanza</t>
  </si>
  <si>
    <t>Western and Nyanza</t>
  </si>
  <si>
    <t>4pe.26</t>
  </si>
  <si>
    <t>Van Branding Daily Permit - Coast</t>
  </si>
  <si>
    <t>4pe.50</t>
  </si>
  <si>
    <t>Van Branding Daily Permit - Eastern</t>
  </si>
  <si>
    <t>4pe.51</t>
  </si>
  <si>
    <t>Van Branding Daily Permit - Nairobi</t>
  </si>
  <si>
    <t>4pe.52</t>
  </si>
  <si>
    <t>Van Branding Daily Permit - North Eastern</t>
  </si>
  <si>
    <t>4pe.53</t>
  </si>
  <si>
    <t>Van Branding Daily Permit - Rift Valley</t>
  </si>
  <si>
    <t>4pe.54</t>
  </si>
  <si>
    <t>Van Branding Daily Permit - Western and Nyanza</t>
  </si>
  <si>
    <t>4pe.55</t>
  </si>
  <si>
    <t>Van Branding Daily Permit- Central</t>
  </si>
  <si>
    <t>4pe.49</t>
  </si>
  <si>
    <t>Van Branding monthly Permit - Coast</t>
  </si>
  <si>
    <t>Branded Van - county permitsPermit per month</t>
  </si>
  <si>
    <t>4pe.28</t>
  </si>
  <si>
    <t>Van Branding monthly Permit - Eastern</t>
  </si>
  <si>
    <t>4pe.29</t>
  </si>
  <si>
    <t>Van Branding monthly Permit - Nairobi</t>
  </si>
  <si>
    <t>4pe.30</t>
  </si>
  <si>
    <t>Van Branding monthly Permit - North Eastern</t>
  </si>
  <si>
    <t>4pe.31</t>
  </si>
  <si>
    <t>Van Branding monthly Permit - Rift Valley</t>
  </si>
  <si>
    <t>4pe.32</t>
  </si>
  <si>
    <t>Van Branding monthly Permit - Western and Nyanza</t>
  </si>
  <si>
    <t>4pe.33</t>
  </si>
  <si>
    <t>Van Branding monthly Permit- Central</t>
  </si>
  <si>
    <t>4pe.27</t>
  </si>
  <si>
    <t>Technology</t>
  </si>
  <si>
    <t>Hokela App - License</t>
  </si>
  <si>
    <t>License Cost / per month /per BA</t>
  </si>
  <si>
    <t>4te.2</t>
  </si>
  <si>
    <t>Hokela App - Set-up</t>
  </si>
  <si>
    <t>Set-up cost &amp; Training</t>
  </si>
  <si>
    <t>4te.1</t>
  </si>
  <si>
    <t>Wage</t>
  </si>
  <si>
    <t>Accomodation</t>
  </si>
  <si>
    <t>Allowance for Agency personnel &amp; Crew per day</t>
  </si>
  <si>
    <t>4wa.1</t>
  </si>
  <si>
    <t>Accomodation Armed Security</t>
  </si>
  <si>
    <t>Inclusive of Meals &amp; Allowances</t>
  </si>
  <si>
    <t>4wa.7</t>
  </si>
  <si>
    <t>Accomodation for Set-up Crew per day</t>
  </si>
  <si>
    <t>Accomodation Per Day</t>
  </si>
  <si>
    <t>4wa.52</t>
  </si>
  <si>
    <t xml:space="preserve">Accomodation for Supervisor /Team leader-Perdiem </t>
  </si>
  <si>
    <t>Inclusive of Meals &amp; Allowances per day (perdiem)</t>
  </si>
  <si>
    <t>4wa.54</t>
  </si>
  <si>
    <t>Accomodation local MC</t>
  </si>
  <si>
    <t>4wa.33</t>
  </si>
  <si>
    <t>Accomodation- Outstation: Premium- 4 star</t>
  </si>
  <si>
    <t>Locations- outside Nairobi per day</t>
  </si>
  <si>
    <t>4wa.2</t>
  </si>
  <si>
    <t>Accomodation- Outstation: Standard- 3 Star</t>
  </si>
  <si>
    <t>Locations- outside Nairobi</t>
  </si>
  <si>
    <t>4wa.3</t>
  </si>
  <si>
    <t xml:space="preserve">Accomodation- Outstation: Super Premium(Talent)-5 star </t>
  </si>
  <si>
    <t>4wa.4</t>
  </si>
  <si>
    <t xml:space="preserve">Allowance for Personnel to attend training ( Per day ) </t>
  </si>
  <si>
    <t>To cater for transport and meals per day</t>
  </si>
  <si>
    <t>4wa.5</t>
  </si>
  <si>
    <t xml:space="preserve">Armed Security </t>
  </si>
  <si>
    <t>Per Day (Inclusive of Meals &amp; Transport)</t>
  </si>
  <si>
    <t>4wa.6</t>
  </si>
  <si>
    <t>Artisans</t>
  </si>
  <si>
    <t>Daily Wage skilled labor e.g. Carpenter, Wielder etc.</t>
  </si>
  <si>
    <t>4wa.8</t>
  </si>
  <si>
    <t>B.A Accomodation (Inclusive of Meals &amp; Allowances)</t>
  </si>
  <si>
    <t>Inclusive of Meals &amp; Allowances(Per day)</t>
  </si>
  <si>
    <t>4wa.9</t>
  </si>
  <si>
    <t xml:space="preserve">Bar Assistant </t>
  </si>
  <si>
    <t>Wage for 3-6 hours event</t>
  </si>
  <si>
    <t>4wa.10</t>
  </si>
  <si>
    <t xml:space="preserve">Bartender </t>
  </si>
  <si>
    <t>4wa.11</t>
  </si>
  <si>
    <t>Brand Ambassador GT  (Month)</t>
  </si>
  <si>
    <t>Per month -GT</t>
  </si>
  <si>
    <t>4wa.65</t>
  </si>
  <si>
    <t>Brand Ambassador GT (day)</t>
  </si>
  <si>
    <t>Per Day-GT</t>
  </si>
  <si>
    <t>4wa.64</t>
  </si>
  <si>
    <t>Brand Ambassador MT (Month)</t>
  </si>
  <si>
    <t>Per Month-MT</t>
  </si>
  <si>
    <t>4wa.63</t>
  </si>
  <si>
    <t>Brand Ambassador MT (day)</t>
  </si>
  <si>
    <t>Per day-MT</t>
  </si>
  <si>
    <t>4wa.62</t>
  </si>
  <si>
    <t>Brand Promoter /BA - Premium</t>
  </si>
  <si>
    <t>Daily Wage for 3-6 hours</t>
  </si>
  <si>
    <t>4wa.14</t>
  </si>
  <si>
    <t>Brand Promoter/BA - Basic</t>
  </si>
  <si>
    <t>Per Month</t>
  </si>
  <si>
    <t>4wa.13</t>
  </si>
  <si>
    <t>Brand Promoter/BA - Standard</t>
  </si>
  <si>
    <t>4wa.15</t>
  </si>
  <si>
    <t>Casual Worker/Handyman</t>
  </si>
  <si>
    <t>4wa.16</t>
  </si>
  <si>
    <t>Communication allowance - Project Manager  (calls + internet)</t>
  </si>
  <si>
    <t>Project Manager Communication Per day</t>
  </si>
  <si>
    <t>4wa.17</t>
  </si>
  <si>
    <t xml:space="preserve">Communication allowance - Promoter/BA </t>
  </si>
  <si>
    <t xml:space="preserve">BA /Promoter Communication Per day </t>
  </si>
  <si>
    <t>4wa.18</t>
  </si>
  <si>
    <t>Communication allowance -Team leader/Supervisor (calls + internet)</t>
  </si>
  <si>
    <t>Team leader Communication Per day</t>
  </si>
  <si>
    <t>4wa.19</t>
  </si>
  <si>
    <t>DJ Accomodation</t>
  </si>
  <si>
    <t>Per day Inclusive of Meals &amp; Allowances</t>
  </si>
  <si>
    <t>4wa.22</t>
  </si>
  <si>
    <t>Daily wage for Supervisor /Team lead (day)</t>
  </si>
  <si>
    <t>Daily Wage</t>
  </si>
  <si>
    <t>4wa.53</t>
  </si>
  <si>
    <t>Dancers Accomodation</t>
  </si>
  <si>
    <t>4wa.21</t>
  </si>
  <si>
    <t>Dancers Wages</t>
  </si>
  <si>
    <t>Per day Inclusive of Meals &amp; Transport</t>
  </si>
  <si>
    <t>4wa.20</t>
  </si>
  <si>
    <t>Disk Jockey - DJ (Month)</t>
  </si>
  <si>
    <t>Per month</t>
  </si>
  <si>
    <t>4wa.69</t>
  </si>
  <si>
    <t>Disk Jockey - DJ (day)</t>
  </si>
  <si>
    <t>4wa.68</t>
  </si>
  <si>
    <t>Driver ( day) wage</t>
  </si>
  <si>
    <t>4wa.23</t>
  </si>
  <si>
    <t>Driver (Month) wage</t>
  </si>
  <si>
    <t>4wa.24</t>
  </si>
  <si>
    <t>Emcee - MC(Month)</t>
  </si>
  <si>
    <t>4wa.67</t>
  </si>
  <si>
    <t>Emcee-MC Wges per day</t>
  </si>
  <si>
    <t>4wa.66</t>
  </si>
  <si>
    <t>Hair &amp; Makeup Allowance- Basic</t>
  </si>
  <si>
    <t>Professional makeup per day</t>
  </si>
  <si>
    <t>4wa.25</t>
  </si>
  <si>
    <t>Hair &amp; Makeup Allowance- Premium</t>
  </si>
  <si>
    <t>4wa.27</t>
  </si>
  <si>
    <t>Hair &amp; Makeup Allowance- Standard</t>
  </si>
  <si>
    <t>4wa.26</t>
  </si>
  <si>
    <t>Hostess - Wage Basic</t>
  </si>
  <si>
    <t>4wa.28</t>
  </si>
  <si>
    <t>Hostess - Wage Premium</t>
  </si>
  <si>
    <t>4wa.29</t>
  </si>
  <si>
    <t>Hostess - Wage Standard</t>
  </si>
  <si>
    <t>4wa.30</t>
  </si>
  <si>
    <t>Local Transport Allowance - Agency</t>
  </si>
  <si>
    <t>Daily Allowance In Lieu of Provided Transport</t>
  </si>
  <si>
    <t>4wa.31</t>
  </si>
  <si>
    <t>Local Transport Allowance - Staff i.e. Hostesses, supervisors,waiters etc.</t>
  </si>
  <si>
    <t xml:space="preserve">Daily Allowance-supervisors,Hostess </t>
  </si>
  <si>
    <t>4wa.32</t>
  </si>
  <si>
    <t>Meals - full day</t>
  </si>
  <si>
    <t>Meal Allowance 2 meals</t>
  </si>
  <si>
    <t>4wa.34</t>
  </si>
  <si>
    <t xml:space="preserve">Meals - half day </t>
  </si>
  <si>
    <t>Meal Allowance. 1 meal</t>
  </si>
  <si>
    <t>4wa.35</t>
  </si>
  <si>
    <t>Mixiologist</t>
  </si>
  <si>
    <t xml:space="preserve">Daily Wage </t>
  </si>
  <si>
    <t>4wa.12</t>
  </si>
  <si>
    <t>Production Director</t>
  </si>
  <si>
    <t>Overall coordination of event production (Project)</t>
  </si>
  <si>
    <t>4wa.36</t>
  </si>
  <si>
    <t>Project Manager Wage (day)</t>
  </si>
  <si>
    <t>Wage Per Day</t>
  </si>
  <si>
    <t>4wa.38</t>
  </si>
  <si>
    <t>Project Manager Wage- Per Month</t>
  </si>
  <si>
    <t>Wage Per Month</t>
  </si>
  <si>
    <t>4wa.37</t>
  </si>
  <si>
    <t>Project Manger accomodation</t>
  </si>
  <si>
    <t>4wa.71</t>
  </si>
  <si>
    <t>Public Transport Allowance - Manager / Cordinator</t>
  </si>
  <si>
    <t>4wa.39</t>
  </si>
  <si>
    <t>Public Transport Allowance - Promoters</t>
  </si>
  <si>
    <t>4wa.40</t>
  </si>
  <si>
    <t>Public Transport Allowance - Supervisor/Team leader</t>
  </si>
  <si>
    <t xml:space="preserve">Transport allowance for team leader </t>
  </si>
  <si>
    <t>4wa.41</t>
  </si>
  <si>
    <t>Round Trip Training Allowance (Central)</t>
  </si>
  <si>
    <t>To cater for transport and meals</t>
  </si>
  <si>
    <t>4wa.42</t>
  </si>
  <si>
    <t>Round Trip Training Allowance (Coast)</t>
  </si>
  <si>
    <t>4wa.43</t>
  </si>
  <si>
    <t>Round Trip Training Allowance (Eastern)</t>
  </si>
  <si>
    <t>4wa.44</t>
  </si>
  <si>
    <t>Round Trip Training Allowance (North Eastern)</t>
  </si>
  <si>
    <t>4wa.45</t>
  </si>
  <si>
    <t>Round Trip Training Allowance (Rift Valley)</t>
  </si>
  <si>
    <t>4wa.46</t>
  </si>
  <si>
    <t>Round Trip Training Allowance (Western and Nyanza)</t>
  </si>
  <si>
    <t>4wa.47</t>
  </si>
  <si>
    <t>Security  (Month) Police Armed</t>
  </si>
  <si>
    <t>4wa.48</t>
  </si>
  <si>
    <t>Security (day)</t>
  </si>
  <si>
    <t>4wa.49</t>
  </si>
  <si>
    <t>Security Bouncer Accomodation</t>
  </si>
  <si>
    <t>4wa.50</t>
  </si>
  <si>
    <t>Security Bouncer Wages (Inclusive of Meals &amp; Transport)</t>
  </si>
  <si>
    <t>4wa.51</t>
  </si>
  <si>
    <t>Supervisor/Team Leader wage - Per Month</t>
  </si>
  <si>
    <t>Team leader Monthly wage</t>
  </si>
  <si>
    <t>4wa.55</t>
  </si>
  <si>
    <t>Technical Crew</t>
  </si>
  <si>
    <t>Event Wage - Grip, AV, Lights and Sound Tech</t>
  </si>
  <si>
    <t>4wa.56</t>
  </si>
  <si>
    <t>Technical Director</t>
  </si>
  <si>
    <t>Overall coordination of event execution (Project)</t>
  </si>
  <si>
    <t>4wa.57</t>
  </si>
  <si>
    <t>Technical Supervisor</t>
  </si>
  <si>
    <t>4wa.58</t>
  </si>
  <si>
    <t>Truck Driver Accomodation per day</t>
  </si>
  <si>
    <t>4wa.59</t>
  </si>
  <si>
    <t>Ushers wage</t>
  </si>
  <si>
    <t>4wa.70</t>
  </si>
  <si>
    <t>Van Driver Accomodation per day</t>
  </si>
  <si>
    <t>4wa.60</t>
  </si>
  <si>
    <t>Waiters wage</t>
  </si>
  <si>
    <t>Daily Wage for +6 hours</t>
  </si>
  <si>
    <t>4wa.61</t>
  </si>
  <si>
    <t>Pricelist</t>
  </si>
  <si>
    <t>Ops - Brisk_Cost</t>
  </si>
  <si>
    <t>Client Cost</t>
  </si>
  <si>
    <t>Standard</t>
  </si>
  <si>
    <t>Unilever</t>
  </si>
  <si>
    <t>EABL</t>
  </si>
  <si>
    <t>Prices:</t>
  </si>
  <si>
    <t>Sri Aurobindo avenue,</t>
  </si>
  <si>
    <t>Client :</t>
  </si>
  <si>
    <t>Client Code :</t>
  </si>
  <si>
    <t>M01</t>
  </si>
  <si>
    <t>Off Riverside Drive, Hse No. 3</t>
  </si>
  <si>
    <t>Activity :</t>
  </si>
  <si>
    <t>Vaseline Activation Nairobi Kenya</t>
  </si>
  <si>
    <t>Project Code :</t>
  </si>
  <si>
    <t>M012509002</t>
  </si>
  <si>
    <t>Tel: 0720 336825</t>
  </si>
  <si>
    <t>Duration :</t>
  </si>
  <si>
    <t>30 Days</t>
  </si>
  <si>
    <t>Start Date :</t>
  </si>
  <si>
    <t>E-Mail: info@briskmarketing.co.ke</t>
  </si>
  <si>
    <t>Account Manager, PM :</t>
  </si>
  <si>
    <t>Mariam, Bokeh</t>
  </si>
  <si>
    <t>End Date :</t>
  </si>
  <si>
    <t>BRISK COST</t>
  </si>
  <si>
    <t>APPROVAL &amp; REVIEW</t>
  </si>
  <si>
    <t>Irn</t>
  </si>
  <si>
    <t>Subcategory</t>
  </si>
  <si>
    <t>Items Detailed Description</t>
  </si>
  <si>
    <t>Ops_Cost</t>
  </si>
  <si>
    <t>Rate_Card (Kshs)</t>
  </si>
  <si>
    <t>Client_Rate</t>
  </si>
  <si>
    <t>Qty</t>
  </si>
  <si>
    <t>Duration</t>
  </si>
  <si>
    <t>Total Cost</t>
  </si>
  <si>
    <t>Total Ops Cost KE</t>
  </si>
  <si>
    <t>Var (Rate Card Vs Client)</t>
  </si>
  <si>
    <t>Sales Margin (val)</t>
  </si>
  <si>
    <t>Sales Margin (%)</t>
  </si>
  <si>
    <t>PM's Comment</t>
  </si>
  <si>
    <t>Approval</t>
  </si>
  <si>
    <t>MD Proposed Cost</t>
  </si>
  <si>
    <t>Final Approved</t>
  </si>
  <si>
    <t>Comments</t>
  </si>
  <si>
    <t>GRAND TOTAL</t>
  </si>
  <si>
    <t>TOTAL PROFESSIONAL FEES WITHOUT VAT</t>
  </si>
  <si>
    <t>Terms &amp; Conditions:</t>
  </si>
  <si>
    <t>KEY COMMENTS</t>
  </si>
  <si>
    <t xml:space="preserve">1. The final cost is exclusive of 16% VAT </t>
  </si>
  <si>
    <t>Ops Margin should be above 40% Margin</t>
  </si>
  <si>
    <t>2. All direct costs are charge an agency commission as appears on the quotation</t>
  </si>
  <si>
    <t>Agency fees for new clients is at 15% minimum and existing clients is at 12%-10%</t>
  </si>
  <si>
    <t xml:space="preserve">3. We require an official Local Purchase Order to commence work, </t>
  </si>
  <si>
    <t>The Final costs elements are dependent on the Brisk to Client proposal</t>
  </si>
  <si>
    <t>Unilever GT trade</t>
  </si>
  <si>
    <t>Calvince Ojuka Odhiambo</t>
  </si>
  <si>
    <t>2 Hrs</t>
  </si>
  <si>
    <t>Calvince, Ojuka</t>
  </si>
  <si>
    <t>Drivers Out station Perdiem</t>
  </si>
  <si>
    <t>Team Leader Daily Data Bundles - To support the team in using the Brisk Marketing Hokela App</t>
  </si>
  <si>
    <t>Brand Ambassador Team Daily Data Bundles - To support the team in using the Brisk Marketing Hokela App(Automation)</t>
  </si>
  <si>
    <t>Material Transport All Round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</si>
</sst>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(* #,##0.00_);_(* \(#,##0.00\);_(* &quot;-&quot;??_);_(@_)"/>
    <numFmt numFmtId="165" formatCode="_(* #,##0_);_(* \(#,##0\);_(* &quot;-&quot;??_);_(@_)"/>
    <numFmt numFmtId="166" formatCode="0.0%;[Red]\(0.0%\);&quot;-&quot;"/>
    <numFmt numFmtId="167" formatCode="&quot;AGENCY FEES - &quot;\ 0%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mbria"/>
      <family val="1"/>
    </font>
    <font>
      <b/>
      <sz val="10"/>
      <color theme="0"/>
      <name val="Cambria"/>
      <family val="1"/>
    </font>
    <font>
      <b/>
      <sz val="10"/>
      <color theme="1"/>
      <name val="Cambria"/>
      <family val="1"/>
    </font>
    <font>
      <i/>
      <sz val="10"/>
      <name val="Cambria"/>
      <family val="1"/>
    </font>
    <font>
      <b/>
      <i/>
      <sz val="10"/>
      <color rgb="FFFF0000"/>
      <name val="Cambria"/>
      <family val="1"/>
    </font>
    <font>
      <b/>
      <sz val="10"/>
      <name val="Cambria"/>
      <family val="1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ashed">
        <color indexed="64"/>
      </right>
      <top style="thin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hair">
        <color indexed="64"/>
      </bottom>
      <diagonal/>
    </border>
    <border>
      <left style="dashed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79">
    <xf numFmtId="0" fontId="0" fillId="0" borderId="0" xfId="0"/>
    <xf numFmtId="165" fontId="2" fillId="0" borderId="0" xfId="2" applyNumberFormat="1" applyFont="1" applyProtection="1"/>
    <xf numFmtId="165" fontId="3" fillId="2" borderId="1" xfId="2" applyNumberFormat="1" applyFont="1" applyFill="1" applyBorder="1" applyAlignment="1" applyProtection="1">
      <alignment vertical="center" wrapText="1"/>
    </xf>
    <xf numFmtId="165" fontId="4" fillId="7" borderId="27" xfId="2" applyNumberFormat="1" applyFont="1" applyFill="1" applyBorder="1" applyAlignment="1" applyProtection="1">
      <alignment vertical="center"/>
    </xf>
    <xf numFmtId="166" fontId="4" fillId="7" borderId="30" xfId="4" applyNumberFormat="1" applyFont="1" applyFill="1" applyBorder="1" applyAlignment="1" applyProtection="1">
      <alignment vertical="center"/>
    </xf>
    <xf numFmtId="165" fontId="4" fillId="7" borderId="29" xfId="2" applyNumberFormat="1" applyFont="1" applyFill="1" applyBorder="1" applyAlignment="1" applyProtection="1">
      <alignment vertical="center"/>
    </xf>
    <xf numFmtId="165" fontId="4" fillId="8" borderId="32" xfId="2" applyNumberFormat="1" applyFont="1" applyFill="1" applyBorder="1" applyAlignment="1" applyProtection="1">
      <alignment horizontal="right" vertical="center" wrapText="1"/>
    </xf>
    <xf numFmtId="165" fontId="4" fillId="8" borderId="35" xfId="2" applyNumberFormat="1" applyFont="1" applyFill="1" applyBorder="1" applyAlignment="1" applyProtection="1">
      <alignment horizontal="right" vertical="center" wrapText="1"/>
    </xf>
    <xf numFmtId="165" fontId="4" fillId="6" borderId="29" xfId="2" applyNumberFormat="1" applyFont="1" applyFill="1" applyBorder="1" applyAlignment="1" applyProtection="1">
      <alignment horizontal="center" vertical="center"/>
    </xf>
    <xf numFmtId="165" fontId="4" fillId="6" borderId="1" xfId="2" applyNumberFormat="1" applyFont="1" applyFill="1" applyBorder="1" applyAlignment="1" applyProtection="1">
      <alignment horizontal="center" vertical="center"/>
    </xf>
    <xf numFmtId="165" fontId="4" fillId="3" borderId="31" xfId="2" applyNumberFormat="1" applyFont="1" applyFill="1" applyBorder="1" applyAlignment="1" applyProtection="1">
      <alignment vertical="center"/>
    </xf>
    <xf numFmtId="165" fontId="4" fillId="8" borderId="31" xfId="2" applyNumberFormat="1" applyFont="1" applyFill="1" applyBorder="1" applyAlignment="1" applyProtection="1">
      <alignment vertical="center"/>
    </xf>
    <xf numFmtId="165" fontId="4" fillId="8" borderId="14" xfId="2" applyNumberFormat="1" applyFont="1" applyFill="1" applyBorder="1" applyAlignment="1" applyProtection="1">
      <alignment vertical="center"/>
    </xf>
    <xf numFmtId="166" fontId="4" fillId="7" borderId="37" xfId="4" applyNumberFormat="1" applyFont="1" applyFill="1" applyBorder="1" applyAlignment="1" applyProtection="1">
      <alignment vertical="center"/>
    </xf>
    <xf numFmtId="166" fontId="2" fillId="7" borderId="39" xfId="4" applyNumberFormat="1" applyFont="1" applyFill="1" applyBorder="1" applyAlignment="1" applyProtection="1">
      <alignment horizontal="right" vertical="center" wrapText="1"/>
    </xf>
    <xf numFmtId="166" fontId="2" fillId="7" borderId="42" xfId="4" applyNumberFormat="1" applyFont="1" applyFill="1" applyBorder="1" applyAlignment="1" applyProtection="1">
      <alignment horizontal="right" vertical="center" wrapText="1"/>
    </xf>
    <xf numFmtId="165" fontId="4" fillId="7" borderId="41" xfId="2" applyNumberFormat="1" applyFont="1" applyFill="1" applyBorder="1" applyAlignment="1" applyProtection="1">
      <alignment horizontal="right" vertical="center" wrapText="1"/>
    </xf>
    <xf numFmtId="165" fontId="4" fillId="5" borderId="9" xfId="5" applyNumberFormat="1" applyFont="1" applyFill="1" applyBorder="1" applyAlignment="1" applyProtection="1">
      <alignment horizontal="right" vertical="center"/>
    </xf>
    <xf numFmtId="165" fontId="4" fillId="5" borderId="1" xfId="5" applyNumberFormat="1" applyFont="1" applyFill="1" applyBorder="1" applyAlignment="1" applyProtection="1">
      <alignment horizontal="right" vertical="center"/>
    </xf>
    <xf numFmtId="165" fontId="4" fillId="5" borderId="16" xfId="5" applyNumberFormat="1" applyFont="1" applyFill="1" applyBorder="1" applyAlignment="1" applyProtection="1">
      <alignment horizontal="right" vertical="center"/>
    </xf>
    <xf numFmtId="165" fontId="2" fillId="10" borderId="32" xfId="2" applyNumberFormat="1" applyFont="1" applyFill="1" applyBorder="1" applyAlignment="1" applyProtection="1">
      <alignment horizontal="left" vertical="center" wrapText="1"/>
    </xf>
    <xf numFmtId="165" fontId="2" fillId="10" borderId="35" xfId="2" applyNumberFormat="1" applyFont="1" applyFill="1" applyBorder="1" applyAlignment="1" applyProtection="1">
      <alignment horizontal="left" vertical="center" wrapText="1"/>
    </xf>
    <xf numFmtId="165" fontId="4" fillId="10" borderId="32" xfId="2" applyNumberFormat="1" applyFont="1" applyFill="1" applyBorder="1" applyAlignment="1" applyProtection="1">
      <alignment horizontal="left" vertical="center" wrapText="1"/>
    </xf>
    <xf numFmtId="165" fontId="2" fillId="10" borderId="46" xfId="2" applyNumberFormat="1" applyFont="1" applyFill="1" applyBorder="1" applyAlignment="1" applyProtection="1">
      <alignment horizontal="left" vertical="center" wrapText="1"/>
    </xf>
    <xf numFmtId="166" fontId="2" fillId="7" borderId="50" xfId="4" applyNumberFormat="1" applyFont="1" applyFill="1" applyBorder="1" applyAlignment="1" applyProtection="1">
      <alignment horizontal="right" vertical="center" wrapText="1"/>
    </xf>
    <xf numFmtId="165" fontId="4" fillId="8" borderId="46" xfId="2" applyNumberFormat="1" applyFont="1" applyFill="1" applyBorder="1" applyAlignment="1" applyProtection="1">
      <alignment horizontal="right" vertical="center" wrapText="1"/>
    </xf>
    <xf numFmtId="0" fontId="2" fillId="0" borderId="0" xfId="0" applyFont="1"/>
    <xf numFmtId="0" fontId="2" fillId="0" borderId="0" xfId="0" applyFont="1" applyAlignment="1">
      <alignment vertical="center"/>
    </xf>
    <xf numFmtId="0" fontId="5" fillId="0" borderId="0" xfId="0" applyFont="1"/>
    <xf numFmtId="0" fontId="5" fillId="0" borderId="0" xfId="0" applyFont="1" applyAlignment="1">
      <alignment wrapText="1"/>
    </xf>
    <xf numFmtId="1" fontId="2" fillId="0" borderId="0" xfId="5" applyNumberFormat="1" applyFont="1" applyBorder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165" fontId="2" fillId="0" borderId="0" xfId="5" applyNumberFormat="1" applyFont="1" applyBorder="1" applyAlignment="1" applyProtection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65" fontId="4" fillId="0" borderId="0" xfId="2" applyNumberFormat="1" applyFont="1" applyAlignment="1" applyProtection="1">
      <alignment horizontal="right"/>
    </xf>
    <xf numFmtId="165" fontId="3" fillId="11" borderId="45" xfId="2" applyNumberFormat="1" applyFont="1" applyFill="1" applyBorder="1" applyProtection="1"/>
    <xf numFmtId="0" fontId="4" fillId="0" borderId="23" xfId="0" applyFont="1" applyBorder="1"/>
    <xf numFmtId="0" fontId="4" fillId="0" borderId="24" xfId="0" applyFont="1" applyBorder="1"/>
    <xf numFmtId="0" fontId="4" fillId="0" borderId="25" xfId="0" applyFont="1" applyBorder="1"/>
    <xf numFmtId="0" fontId="4" fillId="0" borderId="0" xfId="0" applyFont="1"/>
    <xf numFmtId="0" fontId="2" fillId="5" borderId="0" xfId="0" applyFont="1" applyFill="1" applyAlignment="1">
      <alignment horizontal="left"/>
    </xf>
    <xf numFmtId="165" fontId="4" fillId="5" borderId="0" xfId="5" applyNumberFormat="1" applyFont="1" applyFill="1" applyBorder="1" applyAlignment="1" applyProtection="1">
      <alignment horizontal="center" vertical="center"/>
    </xf>
    <xf numFmtId="17" fontId="4" fillId="5" borderId="0" xfId="0" applyNumberFormat="1" applyFont="1" applyFill="1" applyAlignment="1">
      <alignment horizontal="center" vertical="center" wrapText="1"/>
    </xf>
    <xf numFmtId="0" fontId="4" fillId="5" borderId="0" xfId="0" applyFont="1" applyFill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2" borderId="2" xfId="0" applyFont="1" applyFill="1" applyBorder="1" applyAlignment="1">
      <alignment horizontal="left" vertical="center" wrapText="1"/>
    </xf>
    <xf numFmtId="165" fontId="3" fillId="2" borderId="1" xfId="2" applyNumberFormat="1" applyFont="1" applyFill="1" applyBorder="1" applyAlignment="1" applyProtection="1">
      <alignment horizontal="righ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right" vertical="center" wrapText="1"/>
    </xf>
    <xf numFmtId="0" fontId="6" fillId="7" borderId="11" xfId="0" applyFont="1" applyFill="1" applyBorder="1" applyAlignment="1">
      <alignment horizontal="center" vertical="center" wrapText="1"/>
    </xf>
    <xf numFmtId="0" fontId="6" fillId="7" borderId="12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26" xfId="0" applyFont="1" applyFill="1" applyBorder="1" applyAlignment="1">
      <alignment horizontal="center" vertical="center" wrapText="1"/>
    </xf>
    <xf numFmtId="0" fontId="4" fillId="4" borderId="11" xfId="0" applyFont="1" applyFill="1" applyBorder="1" applyAlignment="1">
      <alignment horizontal="center" wrapText="1"/>
    </xf>
    <xf numFmtId="0" fontId="4" fillId="10" borderId="12" xfId="0" applyFont="1" applyFill="1" applyBorder="1" applyAlignment="1">
      <alignment horizontal="center" wrapText="1"/>
    </xf>
    <xf numFmtId="0" fontId="4" fillId="8" borderId="12" xfId="0" applyFont="1" applyFill="1" applyBorder="1" applyAlignment="1">
      <alignment horizontal="center" wrapText="1"/>
    </xf>
    <xf numFmtId="0" fontId="6" fillId="0" borderId="5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left" vertical="center" wrapText="1"/>
    </xf>
    <xf numFmtId="0" fontId="2" fillId="10" borderId="33" xfId="0" applyFont="1" applyFill="1" applyBorder="1" applyAlignment="1">
      <alignment horizontal="left" vertical="center" wrapText="1"/>
    </xf>
    <xf numFmtId="0" fontId="2" fillId="0" borderId="34" xfId="0" applyFont="1" applyBorder="1" applyAlignment="1">
      <alignment horizontal="left" vertical="center" wrapText="1"/>
    </xf>
    <xf numFmtId="165" fontId="2" fillId="0" borderId="32" xfId="2" applyNumberFormat="1" applyFont="1" applyBorder="1" applyAlignment="1" applyProtection="1">
      <alignment horizontal="left" vertical="center" wrapText="1"/>
    </xf>
    <xf numFmtId="0" fontId="2" fillId="0" borderId="32" xfId="0" applyFont="1" applyBorder="1" applyAlignment="1">
      <alignment horizontal="center" vertical="center" wrapText="1"/>
    </xf>
    <xf numFmtId="165" fontId="2" fillId="7" borderId="38" xfId="0" applyNumberFormat="1" applyFont="1" applyFill="1" applyBorder="1" applyAlignment="1">
      <alignment horizontal="right" vertical="center" wrapText="1"/>
    </xf>
    <xf numFmtId="165" fontId="5" fillId="7" borderId="39" xfId="0" applyNumberFormat="1" applyFont="1" applyFill="1" applyBorder="1" applyAlignment="1">
      <alignment horizontal="right" vertical="center" wrapText="1"/>
    </xf>
    <xf numFmtId="165" fontId="2" fillId="7" borderId="39" xfId="0" applyNumberFormat="1" applyFont="1" applyFill="1" applyBorder="1" applyAlignment="1">
      <alignment horizontal="right" vertical="center" wrapText="1"/>
    </xf>
    <xf numFmtId="166" fontId="2" fillId="7" borderId="40" xfId="4" applyNumberFormat="1" applyFont="1" applyFill="1" applyBorder="1" applyAlignment="1" applyProtection="1">
      <alignment horizontal="right" vertical="center" wrapText="1"/>
    </xf>
    <xf numFmtId="0" fontId="2" fillId="9" borderId="33" xfId="0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65" fontId="4" fillId="10" borderId="32" xfId="2" applyNumberFormat="1" applyFont="1" applyFill="1" applyBorder="1" applyAlignment="1" applyProtection="1">
      <alignment horizontal="right" vertical="center" wrapText="1"/>
    </xf>
    <xf numFmtId="165" fontId="4" fillId="0" borderId="32" xfId="2" applyNumberFormat="1" applyFont="1" applyBorder="1" applyAlignment="1" applyProtection="1">
      <alignment horizontal="left" vertical="center" wrapText="1"/>
    </xf>
    <xf numFmtId="0" fontId="2" fillId="0" borderId="46" xfId="0" applyFont="1" applyBorder="1" applyAlignment="1">
      <alignment horizontal="left" vertical="center" wrapText="1"/>
    </xf>
    <xf numFmtId="0" fontId="2" fillId="10" borderId="47" xfId="0" applyFont="1" applyFill="1" applyBorder="1" applyAlignment="1">
      <alignment horizontal="left" vertical="center" wrapText="1"/>
    </xf>
    <xf numFmtId="0" fontId="2" fillId="0" borderId="48" xfId="0" applyFont="1" applyBorder="1" applyAlignment="1">
      <alignment horizontal="left" vertical="center" wrapText="1"/>
    </xf>
    <xf numFmtId="165" fontId="2" fillId="0" borderId="46" xfId="2" applyNumberFormat="1" applyFont="1" applyBorder="1" applyAlignment="1" applyProtection="1">
      <alignment horizontal="left" vertical="center" wrapText="1"/>
    </xf>
    <xf numFmtId="0" fontId="2" fillId="0" borderId="46" xfId="0" applyFont="1" applyBorder="1" applyAlignment="1">
      <alignment horizontal="center" vertical="center" wrapText="1"/>
    </xf>
    <xf numFmtId="165" fontId="2" fillId="7" borderId="49" xfId="0" applyNumberFormat="1" applyFont="1" applyFill="1" applyBorder="1" applyAlignment="1">
      <alignment horizontal="right" vertical="center" wrapText="1"/>
    </xf>
    <xf numFmtId="165" fontId="5" fillId="7" borderId="50" xfId="0" applyNumberFormat="1" applyFont="1" applyFill="1" applyBorder="1" applyAlignment="1">
      <alignment horizontal="right" vertical="center" wrapText="1"/>
    </xf>
    <xf numFmtId="165" fontId="2" fillId="7" borderId="50" xfId="0" applyNumberFormat="1" applyFont="1" applyFill="1" applyBorder="1" applyAlignment="1">
      <alignment horizontal="right" vertical="center" wrapText="1"/>
    </xf>
    <xf numFmtId="166" fontId="2" fillId="7" borderId="51" xfId="4" applyNumberFormat="1" applyFont="1" applyFill="1" applyBorder="1" applyAlignment="1" applyProtection="1">
      <alignment horizontal="right" vertical="center" wrapText="1"/>
    </xf>
    <xf numFmtId="0" fontId="2" fillId="9" borderId="47" xfId="0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65" fontId="4" fillId="10" borderId="52" xfId="2" applyNumberFormat="1" applyFont="1" applyFill="1" applyBorder="1" applyAlignment="1" applyProtection="1">
      <alignment horizontal="right" vertical="center" wrapText="1"/>
    </xf>
    <xf numFmtId="165" fontId="4" fillId="0" borderId="46" xfId="2" applyNumberFormat="1" applyFont="1" applyBorder="1" applyAlignment="1" applyProtection="1">
      <alignment horizontal="left" vertical="center" wrapText="1"/>
    </xf>
    <xf numFmtId="0" fontId="2" fillId="0" borderId="35" xfId="0" applyFont="1" applyBorder="1" applyAlignment="1">
      <alignment horizontal="left" vertical="center" wrapText="1"/>
    </xf>
    <xf numFmtId="0" fontId="2" fillId="10" borderId="35" xfId="0" applyFont="1" applyFill="1" applyBorder="1" applyAlignment="1">
      <alignment horizontal="left" vertical="center" wrapText="1"/>
    </xf>
    <xf numFmtId="0" fontId="2" fillId="0" borderId="36" xfId="0" applyFont="1" applyBorder="1" applyAlignment="1">
      <alignment horizontal="left" vertical="center" wrapText="1"/>
    </xf>
    <xf numFmtId="165" fontId="2" fillId="0" borderId="35" xfId="2" applyNumberFormat="1" applyFont="1" applyBorder="1" applyAlignment="1" applyProtection="1">
      <alignment horizontal="left" vertical="center" wrapText="1"/>
    </xf>
    <xf numFmtId="165" fontId="5" fillId="7" borderId="42" xfId="0" applyNumberFormat="1" applyFont="1" applyFill="1" applyBorder="1" applyAlignment="1">
      <alignment horizontal="right" vertical="center" wrapText="1"/>
    </xf>
    <xf numFmtId="165" fontId="2" fillId="7" borderId="42" xfId="0" applyNumberFormat="1" applyFont="1" applyFill="1" applyBorder="1" applyAlignment="1">
      <alignment horizontal="right" vertical="center" wrapText="1"/>
    </xf>
    <xf numFmtId="166" fontId="2" fillId="7" borderId="43" xfId="4" applyNumberFormat="1" applyFont="1" applyFill="1" applyBorder="1" applyAlignment="1" applyProtection="1">
      <alignment horizontal="right" vertical="center" wrapText="1"/>
    </xf>
    <xf numFmtId="0" fontId="2" fillId="9" borderId="44" xfId="0" applyFont="1" applyFill="1" applyBorder="1" applyAlignment="1">
      <alignment horizontal="center" vertical="center" wrapText="1"/>
    </xf>
    <xf numFmtId="165" fontId="4" fillId="10" borderId="44" xfId="2" applyNumberFormat="1" applyFont="1" applyFill="1" applyBorder="1" applyAlignment="1" applyProtection="1">
      <alignment horizontal="right" vertical="center" wrapText="1"/>
    </xf>
    <xf numFmtId="165" fontId="4" fillId="0" borderId="35" xfId="2" applyNumberFormat="1" applyFont="1" applyBorder="1" applyAlignment="1" applyProtection="1">
      <alignment horizontal="left" vertical="center" wrapText="1"/>
    </xf>
    <xf numFmtId="165" fontId="4" fillId="5" borderId="30" xfId="0" applyNumberFormat="1" applyFont="1" applyFill="1" applyBorder="1" applyAlignment="1">
      <alignment vertical="center"/>
    </xf>
    <xf numFmtId="0" fontId="4" fillId="5" borderId="0" xfId="0" applyFont="1" applyFill="1" applyAlignment="1">
      <alignment vertical="center"/>
    </xf>
    <xf numFmtId="165" fontId="2" fillId="7" borderId="1" xfId="2" applyNumberFormat="1" applyFont="1" applyFill="1" applyBorder="1" applyAlignment="1" applyProtection="1">
      <alignment vertical="center"/>
    </xf>
    <xf numFmtId="165" fontId="2" fillId="7" borderId="3" xfId="2" applyNumberFormat="1" applyFont="1" applyFill="1" applyBorder="1" applyAlignment="1" applyProtection="1">
      <alignment vertical="center"/>
    </xf>
    <xf numFmtId="165" fontId="2" fillId="3" borderId="12" xfId="2" applyNumberFormat="1" applyFont="1" applyFill="1" applyBorder="1" applyAlignment="1" applyProtection="1">
      <alignment vertical="center"/>
    </xf>
    <xf numFmtId="0" fontId="2" fillId="0" borderId="13" xfId="0" applyFont="1" applyBorder="1" applyAlignment="1">
      <alignment vertical="center"/>
    </xf>
    <xf numFmtId="165" fontId="2" fillId="0" borderId="0" xfId="5" applyNumberFormat="1" applyFont="1" applyAlignment="1" applyProtection="1">
      <alignment horizontal="center" vertical="center"/>
    </xf>
    <xf numFmtId="0" fontId="2" fillId="0" borderId="35" xfId="0" applyFont="1" applyBorder="1" applyAlignment="1">
      <alignment horizontal="center" vertical="center" wrapText="1"/>
    </xf>
    <xf numFmtId="0" fontId="2" fillId="9" borderId="44" xfId="0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0" xfId="0" applyFont="1" applyAlignment="1">
      <alignment horizontal="left"/>
    </xf>
    <xf numFmtId="165" fontId="4" fillId="10" borderId="46" xfId="2" applyNumberFormat="1" applyFont="1" applyFill="1" applyBorder="1" applyAlignment="1" applyProtection="1">
      <alignment horizontal="left" vertical="center" wrapText="1"/>
    </xf>
    <xf numFmtId="165" fontId="4" fillId="10" borderId="35" xfId="2" applyNumberFormat="1" applyFont="1" applyFill="1" applyBorder="1" applyAlignment="1" applyProtection="1">
      <alignment horizontal="left" vertical="center" wrapText="1"/>
    </xf>
    <xf numFmtId="165" fontId="4" fillId="7" borderId="1" xfId="2" applyNumberFormat="1" applyFont="1" applyFill="1" applyBorder="1" applyAlignment="1" applyProtection="1">
      <alignment vertical="center" wrapText="1"/>
    </xf>
    <xf numFmtId="165" fontId="4" fillId="0" borderId="8" xfId="5" applyNumberFormat="1" applyFont="1" applyFill="1" applyBorder="1" applyAlignment="1" applyProtection="1">
      <alignment vertical="center"/>
    </xf>
    <xf numFmtId="165" fontId="4" fillId="0" borderId="17" xfId="5" applyNumberFormat="1" applyFont="1" applyFill="1" applyBorder="1" applyAlignment="1" applyProtection="1">
      <alignment vertical="center"/>
    </xf>
    <xf numFmtId="165" fontId="4" fillId="0" borderId="2" xfId="5" applyNumberFormat="1" applyFont="1" applyFill="1" applyBorder="1" applyAlignment="1" applyProtection="1">
      <alignment vertical="center"/>
    </xf>
    <xf numFmtId="165" fontId="4" fillId="0" borderId="3" xfId="5" applyNumberFormat="1" applyFont="1" applyFill="1" applyBorder="1" applyAlignment="1" applyProtection="1">
      <alignment vertical="center"/>
    </xf>
    <xf numFmtId="0" fontId="4" fillId="0" borderId="2" xfId="5" applyNumberFormat="1" applyFont="1" applyFill="1" applyBorder="1" applyAlignment="1" applyProtection="1">
      <alignment vertical="center"/>
    </xf>
    <xf numFmtId="0" fontId="4" fillId="0" borderId="3" xfId="5" applyNumberFormat="1" applyFont="1" applyFill="1" applyBorder="1" applyAlignment="1" applyProtection="1">
      <alignment vertical="center"/>
    </xf>
    <xf numFmtId="165" fontId="4" fillId="0" borderId="19" xfId="5" applyNumberFormat="1" applyFont="1" applyFill="1" applyBorder="1" applyAlignment="1" applyProtection="1">
      <alignment vertical="center"/>
    </xf>
    <xf numFmtId="165" fontId="4" fillId="0" borderId="20" xfId="5" applyNumberFormat="1" applyFont="1" applyFill="1" applyBorder="1" applyAlignment="1" applyProtection="1">
      <alignment vertical="center"/>
    </xf>
    <xf numFmtId="165" fontId="4" fillId="0" borderId="18" xfId="5" applyNumberFormat="1" applyFont="1" applyFill="1" applyBorder="1" applyAlignment="1" applyProtection="1">
      <alignment vertical="center"/>
    </xf>
    <xf numFmtId="165" fontId="4" fillId="0" borderId="10" xfId="5" applyNumberFormat="1" applyFont="1" applyFill="1" applyBorder="1" applyAlignment="1" applyProtection="1">
      <alignment vertical="center"/>
    </xf>
    <xf numFmtId="0" fontId="4" fillId="0" borderId="10" xfId="5" applyNumberFormat="1" applyFont="1" applyFill="1" applyBorder="1" applyAlignment="1" applyProtection="1">
      <alignment vertical="center"/>
    </xf>
    <xf numFmtId="165" fontId="4" fillId="0" borderId="21" xfId="5" applyNumberFormat="1" applyFont="1" applyFill="1" applyBorder="1" applyAlignment="1" applyProtection="1">
      <alignment vertical="center"/>
    </xf>
    <xf numFmtId="165" fontId="4" fillId="0" borderId="8" xfId="5" applyNumberFormat="1" applyFont="1" applyFill="1" applyBorder="1" applyAlignment="1" applyProtection="1">
      <alignment horizontal="left" vertical="center"/>
    </xf>
    <xf numFmtId="165" fontId="4" fillId="0" borderId="2" xfId="5" applyNumberFormat="1" applyFont="1" applyFill="1" applyBorder="1" applyAlignment="1" applyProtection="1">
      <alignment horizontal="left" vertical="center"/>
    </xf>
    <xf numFmtId="0" fontId="4" fillId="0" borderId="2" xfId="5" applyNumberFormat="1" applyFont="1" applyFill="1" applyBorder="1" applyAlignment="1" applyProtection="1">
      <alignment horizontal="left" vertical="center"/>
    </xf>
    <xf numFmtId="165" fontId="4" fillId="0" borderId="19" xfId="5" applyNumberFormat="1" applyFont="1" applyFill="1" applyBorder="1" applyAlignment="1" applyProtection="1">
      <alignment horizontal="left" vertical="center"/>
    </xf>
    <xf numFmtId="165" fontId="4" fillId="0" borderId="17" xfId="5" applyNumberFormat="1" applyFont="1" applyFill="1" applyBorder="1" applyAlignment="1" applyProtection="1">
      <alignment horizontal="left" vertical="center"/>
    </xf>
    <xf numFmtId="165" fontId="4" fillId="5" borderId="17" xfId="5" applyNumberFormat="1" applyFont="1" applyFill="1" applyBorder="1" applyAlignment="1" applyProtection="1">
      <alignment horizontal="left" vertical="center"/>
    </xf>
    <xf numFmtId="165" fontId="4" fillId="5" borderId="18" xfId="5" applyNumberFormat="1" applyFont="1" applyFill="1" applyBorder="1" applyAlignment="1" applyProtection="1">
      <alignment horizontal="left" vertical="center"/>
    </xf>
    <xf numFmtId="165" fontId="4" fillId="0" borderId="3" xfId="5" applyNumberFormat="1" applyFont="1" applyFill="1" applyBorder="1" applyAlignment="1" applyProtection="1">
      <alignment horizontal="left" vertical="center"/>
    </xf>
    <xf numFmtId="165" fontId="4" fillId="5" borderId="3" xfId="5" applyNumberFormat="1" applyFont="1" applyFill="1" applyBorder="1" applyAlignment="1" applyProtection="1">
      <alignment horizontal="left" vertical="center"/>
    </xf>
    <xf numFmtId="165" fontId="4" fillId="5" borderId="10" xfId="5" applyNumberFormat="1" applyFont="1" applyFill="1" applyBorder="1" applyAlignment="1" applyProtection="1">
      <alignment horizontal="left" vertical="center"/>
    </xf>
    <xf numFmtId="0" fontId="4" fillId="0" borderId="3" xfId="5" applyNumberFormat="1" applyFont="1" applyFill="1" applyBorder="1" applyAlignment="1" applyProtection="1">
      <alignment horizontal="left" vertical="center"/>
    </xf>
    <xf numFmtId="0" fontId="4" fillId="5" borderId="3" xfId="5" applyNumberFormat="1" applyFont="1" applyFill="1" applyBorder="1" applyAlignment="1" applyProtection="1">
      <alignment horizontal="left" vertical="center"/>
    </xf>
    <xf numFmtId="0" fontId="4" fillId="5" borderId="10" xfId="5" applyNumberFormat="1" applyFont="1" applyFill="1" applyBorder="1" applyAlignment="1" applyProtection="1">
      <alignment horizontal="left" vertical="center"/>
    </xf>
    <xf numFmtId="165" fontId="4" fillId="0" borderId="20" xfId="5" applyNumberFormat="1" applyFont="1" applyFill="1" applyBorder="1" applyAlignment="1" applyProtection="1">
      <alignment horizontal="left" vertical="center"/>
    </xf>
    <xf numFmtId="165" fontId="4" fillId="5" borderId="20" xfId="5" applyNumberFormat="1" applyFont="1" applyFill="1" applyBorder="1" applyAlignment="1" applyProtection="1">
      <alignment horizontal="left" vertical="center"/>
    </xf>
    <xf numFmtId="165" fontId="4" fillId="5" borderId="21" xfId="5" applyNumberFormat="1" applyFont="1" applyFill="1" applyBorder="1" applyAlignment="1" applyProtection="1">
      <alignment horizontal="left" vertical="center"/>
    </xf>
    <xf numFmtId="165" fontId="4" fillId="0" borderId="18" xfId="5" applyNumberFormat="1" applyFont="1" applyFill="1" applyBorder="1" applyAlignment="1" applyProtection="1">
      <alignment horizontal="left" vertical="center"/>
    </xf>
    <xf numFmtId="165" fontId="4" fillId="0" borderId="10" xfId="5" applyNumberFormat="1" applyFont="1" applyFill="1" applyBorder="1" applyAlignment="1" applyProtection="1">
      <alignment horizontal="left" vertical="center"/>
    </xf>
    <xf numFmtId="0" fontId="4" fillId="0" borderId="10" xfId="5" applyNumberFormat="1" applyFont="1" applyFill="1" applyBorder="1" applyAlignment="1" applyProtection="1">
      <alignment horizontal="left" vertical="center"/>
    </xf>
    <xf numFmtId="165" fontId="4" fillId="0" borderId="21" xfId="5" applyNumberFormat="1" applyFont="1" applyFill="1" applyBorder="1" applyAlignment="1" applyProtection="1">
      <alignment horizontal="left" vertical="center"/>
    </xf>
    <xf numFmtId="1" fontId="4" fillId="6" borderId="53" xfId="5" applyNumberFormat="1" applyFont="1" applyFill="1" applyBorder="1" applyAlignment="1" applyProtection="1">
      <alignment horizontal="right" vertical="center"/>
    </xf>
    <xf numFmtId="1" fontId="4" fillId="6" borderId="27" xfId="5" applyNumberFormat="1" applyFont="1" applyFill="1" applyBorder="1" applyAlignment="1" applyProtection="1">
      <alignment horizontal="right" vertical="center"/>
    </xf>
    <xf numFmtId="1" fontId="4" fillId="6" borderId="28" xfId="5" applyNumberFormat="1" applyFont="1" applyFill="1" applyBorder="1" applyAlignment="1" applyProtection="1">
      <alignment horizontal="right" vertical="center"/>
    </xf>
    <xf numFmtId="167" fontId="4" fillId="6" borderId="2" xfId="0" applyNumberFormat="1" applyFont="1" applyFill="1" applyBorder="1" applyAlignment="1">
      <alignment horizontal="left" vertical="center"/>
    </xf>
    <xf numFmtId="167" fontId="4" fillId="6" borderId="3" xfId="0" applyNumberFormat="1" applyFont="1" applyFill="1" applyBorder="1" applyAlignment="1">
      <alignment horizontal="left" vertical="center"/>
    </xf>
    <xf numFmtId="167" fontId="4" fillId="6" borderId="5" xfId="0" applyNumberFormat="1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left" vertical="center"/>
    </xf>
    <xf numFmtId="0" fontId="7" fillId="6" borderId="3" xfId="0" applyFont="1" applyFill="1" applyBorder="1" applyAlignment="1">
      <alignment horizontal="left" vertical="center"/>
    </xf>
    <xf numFmtId="0" fontId="7" fillId="6" borderId="5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wrapText="1"/>
    </xf>
    <xf numFmtId="0" fontId="4" fillId="4" borderId="3" xfId="0" applyFont="1" applyFill="1" applyBorder="1" applyAlignment="1">
      <alignment horizontal="center" wrapText="1"/>
    </xf>
    <xf numFmtId="0" fontId="4" fillId="4" borderId="5" xfId="0" applyFont="1" applyFill="1" applyBorder="1" applyAlignment="1">
      <alignment horizontal="center" wrapText="1"/>
    </xf>
    <xf numFmtId="0" fontId="4" fillId="3" borderId="2" xfId="0" applyFont="1" applyFill="1" applyBorder="1" applyAlignment="1">
      <alignment horizontal="left" vertical="center"/>
    </xf>
    <xf numFmtId="0" fontId="4" fillId="3" borderId="3" xfId="0" applyFont="1" applyFill="1" applyBorder="1" applyAlignment="1">
      <alignment horizontal="left" vertical="center"/>
    </xf>
    <xf numFmtId="0" fontId="4" fillId="3" borderId="5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 wrapText="1"/>
    </xf>
    <xf numFmtId="0" fontId="2" fillId="3" borderId="3" xfId="0" applyFont="1" applyFill="1" applyBorder="1" applyAlignment="1">
      <alignment horizontal="left" vertical="center" wrapText="1"/>
    </xf>
    <xf numFmtId="0" fontId="2" fillId="3" borderId="5" xfId="0" applyFont="1" applyFill="1" applyBorder="1" applyAlignment="1">
      <alignment horizontal="left" vertical="center" wrapText="1"/>
    </xf>
    <xf numFmtId="0" fontId="4" fillId="0" borderId="6" xfId="0" applyFont="1" applyBorder="1" applyAlignment="1">
      <alignment horizontal="left"/>
    </xf>
    <xf numFmtId="0" fontId="4" fillId="0" borderId="17" xfId="0" applyFont="1" applyBorder="1" applyAlignment="1">
      <alignment horizontal="left"/>
    </xf>
    <xf numFmtId="0" fontId="4" fillId="0" borderId="18" xfId="0" applyFont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0" borderId="3" xfId="0" applyFont="1" applyBorder="1" applyAlignment="1">
      <alignment horizontal="left"/>
    </xf>
    <xf numFmtId="0" fontId="4" fillId="0" borderId="10" xfId="0" applyFont="1" applyBorder="1" applyAlignment="1">
      <alignment horizontal="left"/>
    </xf>
    <xf numFmtId="15" fontId="4" fillId="0" borderId="4" xfId="0" applyNumberFormat="1" applyFont="1" applyBorder="1" applyAlignment="1">
      <alignment horizontal="left"/>
    </xf>
    <xf numFmtId="15" fontId="4" fillId="0" borderId="3" xfId="0" applyNumberFormat="1" applyFont="1" applyBorder="1" applyAlignment="1">
      <alignment horizontal="left"/>
    </xf>
    <xf numFmtId="15" fontId="4" fillId="0" borderId="10" xfId="0" applyNumberFormat="1" applyFont="1" applyBorder="1" applyAlignment="1">
      <alignment horizontal="left"/>
    </xf>
    <xf numFmtId="15" fontId="4" fillId="0" borderId="22" xfId="0" applyNumberFormat="1" applyFont="1" applyBorder="1" applyAlignment="1">
      <alignment horizontal="left"/>
    </xf>
    <xf numFmtId="15" fontId="4" fillId="0" borderId="20" xfId="0" applyNumberFormat="1" applyFont="1" applyBorder="1" applyAlignment="1">
      <alignment horizontal="left"/>
    </xf>
    <xf numFmtId="15" fontId="4" fillId="0" borderId="21" xfId="0" applyNumberFormat="1" applyFont="1" applyBorder="1" applyAlignment="1">
      <alignment horizontal="left"/>
    </xf>
    <xf numFmtId="165" fontId="4" fillId="7" borderId="2" xfId="2" applyNumberFormat="1" applyFont="1" applyFill="1" applyBorder="1" applyAlignment="1" applyProtection="1">
      <alignment horizontal="center" vertical="center"/>
    </xf>
    <xf numFmtId="165" fontId="4" fillId="7" borderId="3" xfId="2" applyNumberFormat="1" applyFont="1" applyFill="1" applyBorder="1" applyAlignment="1" applyProtection="1">
      <alignment horizontal="center" vertical="center"/>
    </xf>
    <xf numFmtId="165" fontId="4" fillId="7" borderId="5" xfId="2" applyNumberFormat="1" applyFont="1" applyFill="1" applyBorder="1" applyAlignment="1" applyProtection="1">
      <alignment horizontal="center" vertical="center"/>
    </xf>
    <xf numFmtId="165" fontId="2" fillId="5" borderId="6" xfId="5" applyNumberFormat="1" applyFont="1" applyFill="1" applyBorder="1" applyAlignment="1" applyProtection="1">
      <alignment horizontal="left" vertical="center"/>
    </xf>
    <xf numFmtId="165" fontId="2" fillId="5" borderId="7" xfId="5" applyNumberFormat="1" applyFont="1" applyFill="1" applyBorder="1" applyAlignment="1" applyProtection="1">
      <alignment horizontal="left" vertical="center"/>
    </xf>
    <xf numFmtId="165" fontId="2" fillId="5" borderId="4" xfId="5" applyNumberFormat="1" applyFont="1" applyFill="1" applyBorder="1" applyAlignment="1" applyProtection="1">
      <alignment horizontal="left" vertical="center"/>
    </xf>
    <xf numFmtId="165" fontId="2" fillId="5" borderId="5" xfId="5" applyNumberFormat="1" applyFont="1" applyFill="1" applyBorder="1" applyAlignment="1" applyProtection="1">
      <alignment horizontal="left" vertical="center"/>
    </xf>
    <xf numFmtId="165" fontId="2" fillId="5" borderId="22" xfId="5" applyNumberFormat="1" applyFont="1" applyFill="1" applyBorder="1" applyAlignment="1" applyProtection="1">
      <alignment horizontal="left" vertical="center"/>
    </xf>
    <xf numFmtId="165" fontId="2" fillId="5" borderId="15" xfId="5" applyNumberFormat="1" applyFont="1" applyFill="1" applyBorder="1" applyAlignment="1" applyProtection="1">
      <alignment horizontal="left" vertical="center"/>
    </xf>
    <xf numFmtId="0" fontId="2" fillId="0" borderId="6" xfId="0" applyFont="1" applyBorder="1" applyAlignment="1"/>
    <xf numFmtId="0" fontId="2" fillId="0" borderId="4" xfId="0" applyFont="1" applyBorder="1" applyAlignment="1"/>
    <xf numFmtId="0" fontId="2" fillId="0" borderId="22" xfId="0" applyFont="1" applyBorder="1" applyAlignment="1"/>
  </cellXfs>
  <cellStyles count="7">
    <cellStyle name="Comma" xfId="2" builtinId="3"/>
    <cellStyle name="Comma 2" xfId="1" xr:uid="{9EDF197E-C021-488A-A235-CFC55A86E864}"/>
    <cellStyle name="Comma 2 3" xfId="5" xr:uid="{20BAF81A-39AE-4007-AF23-C18D38B8E9B1}"/>
    <cellStyle name="Comma 3 2" xfId="6" xr:uid="{DBDE34E8-EDDF-4361-BA17-C4DB98C70468}"/>
    <cellStyle name="Normal" xfId="0" builtinId="0"/>
    <cellStyle name="Normal 4" xfId="3" xr:uid="{C9B54569-6490-47A8-974F-864FADB52E76}"/>
    <cellStyle name="Percent" xfId="4" builtinId="5"/>
  </cellStyles>
  <dxfs count="14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fill>
        <patternFill>
          <fgColor indexed="64"/>
          <bgColor theme="9" tint="0.79998168889431442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fill>
        <patternFill>
          <fgColor indexed="64"/>
          <bgColor theme="4" tint="0.79998168889431442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6" formatCode="0.0%;[Red]\(0.0%\);&quot;-&quot;"/>
      <fill>
        <patternFill patternType="solid">
          <fgColor indexed="64"/>
          <bgColor theme="5" tint="0.79998168889431442"/>
        </patternFill>
      </fill>
      <alignment horizontal="right" vertical="center" textRotation="0" wrapText="1" indent="0" justifyLastLine="0" shrinkToFit="0" readingOrder="0"/>
      <border diagonalUp="0" diagonalDown="0" outline="0">
        <left style="dashed">
          <color indexed="64"/>
        </left>
        <right/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8" formatCode="0.0%"/>
      <fill>
        <patternFill patternType="solid">
          <fgColor indexed="64"/>
          <bgColor theme="5" tint="0.79998168889431442"/>
        </patternFill>
      </fill>
      <border diagonalUp="0" diagonalDown="0" outline="0">
        <left style="hair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6" formatCode="0.0%;[Red]\(0.0%\);&quot;-&quot;"/>
      <fill>
        <patternFill>
          <fgColor indexed="64"/>
          <bgColor theme="5" tint="0.79998168889431442"/>
        </patternFill>
      </fill>
      <alignment horizontal="right" vertical="center" textRotation="0" wrapText="1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8" formatCode="0.0%"/>
      <fill>
        <patternFill patternType="solid">
          <fgColor indexed="64"/>
          <bgColor theme="5" tint="0.79998168889431442"/>
        </patternFill>
      </fill>
      <border diagonalUp="0" diagonalDown="0" outline="0">
        <left style="hair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fill>
        <patternFill>
          <fgColor indexed="64"/>
          <bgColor theme="5" tint="0.79998168889431442"/>
        </patternFill>
      </fill>
      <alignment horizontal="right" vertical="center" textRotation="0" wrapText="1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165" formatCode="_(* #,##0_);_(* \(#,##0\);_(* &quot;-&quot;??_);_(@_)"/>
      <fill>
        <patternFill>
          <fgColor indexed="64"/>
          <bgColor theme="5" tint="0.79998168889431442"/>
        </patternFill>
      </fill>
      <alignment horizontal="right" vertical="center" textRotation="0" wrapText="1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hair">
          <color indexed="64"/>
        </right>
        <top/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fill>
        <patternFill patternType="solid">
          <fgColor indexed="64"/>
          <bgColor theme="5" tint="0.79998168889431442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dashed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ill>
        <patternFill patternType="solid">
          <fgColor indexed="64"/>
          <bgColor theme="5" tint="0.79998168889431442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hair">
          <color indexed="64"/>
        </top>
        <bottom style="hair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0" formatCode="General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name val="Cambria"/>
        <family val="1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0"/>
        <name val="Cambria"/>
        <family val="1"/>
        <scheme val="none"/>
      </font>
      <alignment horizontal="left" vertical="center" textRotation="0" wrapText="1" indent="0" justifyLastLine="0" shrinkToFit="0" readingOrder="0"/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fill>
        <patternFill>
          <fgColor indexed="64"/>
          <bgColor theme="9" tint="0.79998168889431442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fill>
        <patternFill>
          <fgColor indexed="64"/>
          <bgColor theme="4" tint="0.79998168889431442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6" formatCode="0.0%;[Red]\(0.0%\);&quot;-&quot;"/>
      <fill>
        <patternFill patternType="solid">
          <fgColor indexed="64"/>
          <bgColor theme="5" tint="0.79998168889431442"/>
        </patternFill>
      </fill>
      <alignment horizontal="right" vertical="center" textRotation="0" wrapText="1" indent="0" justifyLastLine="0" shrinkToFit="0" readingOrder="0"/>
      <border diagonalUp="0" diagonalDown="0" outline="0">
        <left style="dashed">
          <color indexed="64"/>
        </left>
        <right/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8" formatCode="0.0%"/>
      <fill>
        <patternFill patternType="solid">
          <fgColor indexed="64"/>
          <bgColor theme="5" tint="0.79998168889431442"/>
        </patternFill>
      </fill>
      <border diagonalUp="0" diagonalDown="0" outline="0">
        <left style="hair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6" formatCode="0.0%;[Red]\(0.0%\);&quot;-&quot;"/>
      <fill>
        <patternFill>
          <fgColor indexed="64"/>
          <bgColor theme="5" tint="0.79998168889431442"/>
        </patternFill>
      </fill>
      <alignment horizontal="right" vertical="center" textRotation="0" wrapText="1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8" formatCode="0.0%"/>
      <fill>
        <patternFill patternType="solid">
          <fgColor indexed="64"/>
          <bgColor theme="5" tint="0.79998168889431442"/>
        </patternFill>
      </fill>
      <border diagonalUp="0" diagonalDown="0" outline="0">
        <left style="hair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fill>
        <patternFill>
          <fgColor indexed="64"/>
          <bgColor theme="5" tint="0.79998168889431442"/>
        </patternFill>
      </fill>
      <alignment horizontal="right" vertical="center" textRotation="0" wrapText="1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165" formatCode="_(* #,##0_);_(* \(#,##0\);_(* &quot;-&quot;??_);_(@_)"/>
      <fill>
        <patternFill>
          <fgColor indexed="64"/>
          <bgColor theme="5" tint="0.79998168889431442"/>
        </patternFill>
      </fill>
      <alignment horizontal="right" vertical="center" textRotation="0" wrapText="1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hair">
          <color indexed="64"/>
        </right>
        <top/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fill>
        <patternFill patternType="solid">
          <fgColor indexed="64"/>
          <bgColor theme="5" tint="0.79998168889431442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dashed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ill>
        <patternFill patternType="solid">
          <fgColor indexed="64"/>
          <bgColor theme="5" tint="0.79998168889431442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hair">
          <color indexed="64"/>
        </top>
        <bottom style="hair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0" formatCode="General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name val="Cambria"/>
        <family val="1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0"/>
        <name val="Cambria"/>
        <family val="1"/>
        <scheme val="none"/>
      </font>
      <alignment horizontal="left" vertical="center" textRotation="0" wrapText="1" indent="0" justifyLastLine="0" shrinkToFit="0" readingOrder="0"/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fill>
        <patternFill>
          <fgColor indexed="64"/>
          <bgColor theme="9" tint="0.79998168889431442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fill>
        <patternFill>
          <fgColor indexed="64"/>
          <bgColor theme="4" tint="0.79998168889431442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6" formatCode="0.0%;[Red]\(0.0%\);&quot;-&quot;"/>
      <fill>
        <patternFill patternType="solid">
          <fgColor indexed="64"/>
          <bgColor theme="5" tint="0.79998168889431442"/>
        </patternFill>
      </fill>
      <alignment horizontal="right" vertical="center" textRotation="0" wrapText="1" indent="0" justifyLastLine="0" shrinkToFit="0" readingOrder="0"/>
      <border diagonalUp="0" diagonalDown="0" outline="0">
        <left style="dashed">
          <color indexed="64"/>
        </left>
        <right/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8" formatCode="0.0%"/>
      <fill>
        <patternFill patternType="solid">
          <fgColor indexed="64"/>
          <bgColor theme="5" tint="0.79998168889431442"/>
        </patternFill>
      </fill>
      <border diagonalUp="0" diagonalDown="0" outline="0">
        <left style="hair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6" formatCode="0.0%;[Red]\(0.0%\);&quot;-&quot;"/>
      <fill>
        <patternFill>
          <fgColor indexed="64"/>
          <bgColor theme="5" tint="0.79998168889431442"/>
        </patternFill>
      </fill>
      <alignment horizontal="right" vertical="center" textRotation="0" wrapText="1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8" formatCode="0.0%"/>
      <fill>
        <patternFill patternType="solid">
          <fgColor indexed="64"/>
          <bgColor theme="5" tint="0.79998168889431442"/>
        </patternFill>
      </fill>
      <border diagonalUp="0" diagonalDown="0" outline="0">
        <left style="hair">
          <color indexed="64"/>
        </left>
        <right style="thin">
          <color indexed="64"/>
        </right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fill>
        <patternFill>
          <fgColor indexed="64"/>
          <bgColor theme="5" tint="0.79998168889431442"/>
        </patternFill>
      </fill>
      <alignment horizontal="right" vertical="center" textRotation="0" wrapText="1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 style="thin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165" formatCode="_(* #,##0_);_(* \(#,##0\);_(* &quot;-&quot;??_);_(@_)"/>
      <fill>
        <patternFill>
          <fgColor indexed="64"/>
          <bgColor theme="5" tint="0.79998168889431442"/>
        </patternFill>
      </fill>
      <alignment horizontal="right" vertical="center" textRotation="0" wrapText="1" indent="0" justifyLastLine="0" shrinkToFit="0" readingOrder="0"/>
      <border diagonalUp="0" diagonalDown="0" outline="0">
        <left style="dashed">
          <color indexed="64"/>
        </left>
        <right style="dashed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indexed="64"/>
        </left>
        <right style="hair">
          <color indexed="64"/>
        </right>
        <top/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fill>
        <patternFill patternType="solid">
          <fgColor indexed="64"/>
          <bgColor theme="5" tint="0.79998168889431442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indexed="64"/>
        </left>
        <right style="dashed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ill>
        <patternFill patternType="solid">
          <fgColor indexed="64"/>
          <bgColor theme="5" tint="0.79998168889431442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hair">
          <color indexed="64"/>
        </top>
        <bottom style="hair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5" formatCode="_(* #,##0_);_(* \(#,##0\);_(* &quot;-&quot;??_);_(@_)"/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0" formatCode="General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0"/>
        <name val="Cambria"/>
        <family val="1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0"/>
        <name val="Cambria"/>
        <family val="1"/>
        <scheme val="none"/>
      </font>
      <alignment horizontal="left" vertical="center" textRotation="0" wrapText="1" indent="0" justifyLastLine="0" shrinkToFit="0" readingOrder="0"/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alignment horizontal="center" vertical="center" textRotation="0" wrapText="1" indent="0" justifyLastLine="0" shrinkToFit="0" readingOrder="0"/>
      <protection locked="1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66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107950</xdr:colOff>
      <xdr:row>1</xdr:row>
      <xdr:rowOff>88900</xdr:rowOff>
    </xdr:from>
    <xdr:to>
      <xdr:col>1</xdr:col>
      <xdr:colOff>971594</xdr:colOff>
      <xdr:row>4</xdr:row>
      <xdr:rowOff>25439</xdr:rowOff>
    </xdr:to>
    <xdr:pic>
      <xdr:nvPicPr>
        <xdr:cNvPr id="5" name="Picture 4" descr="Brisk Logo White Slogan.jpg">
          <a:extLst>
            <a:ext uri="{FF2B5EF4-FFF2-40B4-BE49-F238E27FC236}">
              <a16:creationId xmlns:a16="http://schemas.microsoft.com/office/drawing/2014/main" id="{F27A4CA0-4730-5E3F-4FEB-7BFE4FCE2A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3850" y="88900"/>
          <a:ext cx="863644" cy="7556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12700</xdr:rowOff>
        </xdr:from>
        <xdr:to>
          <xdr:col>3</xdr:col>
          <xdr:colOff>1955800</xdr:colOff>
          <xdr:row>5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Export this Sheet 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5</xdr:row>
          <xdr:rowOff>12700</xdr:rowOff>
        </xdr:from>
        <xdr:to>
          <xdr:col>5</xdr:col>
          <xdr:colOff>831850</xdr:colOff>
          <xdr:row>5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Export All Sheets 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615950</xdr:colOff>
          <xdr:row>5</xdr:row>
          <xdr:rowOff>12700</xdr:rowOff>
        </xdr:from>
        <xdr:to>
          <xdr:col>10</xdr:col>
          <xdr:colOff>920750</xdr:colOff>
          <xdr:row>5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Export All Sheets to EXCEL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107950</xdr:colOff>
      <xdr:row>1</xdr:row>
      <xdr:rowOff>88900</xdr:rowOff>
    </xdr:from>
    <xdr:to>
      <xdr:col>1</xdr:col>
      <xdr:colOff>971594</xdr:colOff>
      <xdr:row>4</xdr:row>
      <xdr:rowOff>25439</xdr:rowOff>
    </xdr:to>
    <xdr:pic>
      <xdr:nvPicPr>
        <xdr:cNvPr id="2" name="Picture 1" descr="Brisk Logo White Slogan.jpg">
          <a:extLst>
            <a:ext uri="{FF2B5EF4-FFF2-40B4-BE49-F238E27FC236}">
              <a16:creationId xmlns:a16="http://schemas.microsoft.com/office/drawing/2014/main" id="{3F3666E1-2F7D-4A62-85C2-9C0E8DECC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254000"/>
          <a:ext cx="863644" cy="7556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12700</xdr:rowOff>
        </xdr:from>
        <xdr:to>
          <xdr:col>3</xdr:col>
          <xdr:colOff>1955800</xdr:colOff>
          <xdr:row>5</xdr:row>
          <xdr:rowOff>190500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Export this Sheet 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5</xdr:row>
          <xdr:rowOff>12700</xdr:rowOff>
        </xdr:from>
        <xdr:to>
          <xdr:col>5</xdr:col>
          <xdr:colOff>831850</xdr:colOff>
          <xdr:row>5</xdr:row>
          <xdr:rowOff>190500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Export All Sheets 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615950</xdr:colOff>
          <xdr:row>5</xdr:row>
          <xdr:rowOff>12700</xdr:rowOff>
        </xdr:from>
        <xdr:to>
          <xdr:col>10</xdr:col>
          <xdr:colOff>920750</xdr:colOff>
          <xdr:row>5</xdr:row>
          <xdr:rowOff>190500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Export All Sheets to EXCEL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107950</xdr:colOff>
      <xdr:row>1</xdr:row>
      <xdr:rowOff>88900</xdr:rowOff>
    </xdr:from>
    <xdr:to>
      <xdr:col>1</xdr:col>
      <xdr:colOff>971594</xdr:colOff>
      <xdr:row>4</xdr:row>
      <xdr:rowOff>25439</xdr:rowOff>
    </xdr:to>
    <xdr:pic>
      <xdr:nvPicPr>
        <xdr:cNvPr id="2" name="Picture 1" descr="Brisk Logo White Slogan.jpg">
          <a:extLst>
            <a:ext uri="{FF2B5EF4-FFF2-40B4-BE49-F238E27FC236}">
              <a16:creationId xmlns:a16="http://schemas.microsoft.com/office/drawing/2014/main" id="{A5650A43-B578-41A9-8008-2BEEC8118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254000"/>
          <a:ext cx="863644" cy="75568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12700</xdr:rowOff>
        </xdr:from>
        <xdr:to>
          <xdr:col>3</xdr:col>
          <xdr:colOff>1955800</xdr:colOff>
          <xdr:row>5</xdr:row>
          <xdr:rowOff>190500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Export this Sheet 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5</xdr:row>
          <xdr:rowOff>12700</xdr:rowOff>
        </xdr:from>
        <xdr:to>
          <xdr:col>5</xdr:col>
          <xdr:colOff>831850</xdr:colOff>
          <xdr:row>5</xdr:row>
          <xdr:rowOff>190500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4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Export All Sheets 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615950</xdr:colOff>
          <xdr:row>5</xdr:row>
          <xdr:rowOff>12700</xdr:rowOff>
        </xdr:from>
        <xdr:to>
          <xdr:col>10</xdr:col>
          <xdr:colOff>920750</xdr:colOff>
          <xdr:row>5</xdr:row>
          <xdr:rowOff>190500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mbria"/>
                  <a:ea typeface="Cambria"/>
                </a:rPr>
                <a:t>Export All Sheets to EXCEL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3E32C0A7-5644-48CE-88B6-F4C90D560528}" autoFormatId="16" applyNumberFormats="0" applyBorderFormats="0" applyFontFormats="0" applyPatternFormats="0" applyAlignmentFormats="0" applyWidthHeightFormats="0">
  <queryTableRefresh nextId="5">
    <queryTableFields count="4">
      <queryTableField id="1" name="Category" tableColumnId="1"/>
      <queryTableField id="2" name="Description" tableColumnId="2"/>
      <queryTableField id="3" name="Additional Details" tableColumnId="3"/>
      <queryTableField id="4" name="item ref no.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2" xr16:uid="{654CABFC-0AE5-4B6F-AFD2-A36E7C3F772B}" autoFormatId="16" applyNumberFormats="0" applyBorderFormats="0" applyFontFormats="0" applyPatternFormats="0" applyAlignmentFormats="0" applyWidthHeightFormats="0">
  <queryTableRefresh nextId="15">
    <queryTableFields count="7">
      <queryTableField id="2" name="item ref no." tableColumnId="2"/>
      <queryTableField id="3" name="Category" tableColumnId="3"/>
      <queryTableField id="4" name="Description" tableColumnId="4"/>
      <queryTableField id="5" name="Additional Details" tableColumnId="5"/>
      <queryTableField id="12" name="Pricelist" tableColumnId="9"/>
      <queryTableField id="6" name="Ops - Brisk_Cost" tableColumnId="6"/>
      <queryTableField id="13" name="Client Cost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E0BD38-B431-4976-9BE4-C1B19CC9D3AB}" name="Rate_Card_Items" displayName="Rate_Card_Items" ref="A1:D323" tableType="queryTable" totalsRowShown="0">
  <autoFilter ref="A1:D323" xr:uid="{D5E0BD38-B431-4976-9BE4-C1B19CC9D3AB}"/>
  <tableColumns count="4">
    <tableColumn id="1" xr3:uid="{FDC35139-A382-4F41-871B-31721CB1AA4A}" uniqueName="1" name="Category" queryTableFieldId="1" dataDxfId="140"/>
    <tableColumn id="2" xr3:uid="{CDA0DDE6-8267-425F-AC14-09ADAE689C70}" uniqueName="2" name="Description" queryTableFieldId="2" dataDxfId="139"/>
    <tableColumn id="3" xr3:uid="{59006358-6628-4A43-902D-75D32BDD6E6A}" uniqueName="3" name="Additional Details" queryTableFieldId="3" dataDxfId="138"/>
    <tableColumn id="4" xr3:uid="{8E108563-8EBB-4DEF-B4A2-47229902CC6F}" uniqueName="4" name="item ref no." queryTableFieldId="4" dataDxfId="137"/>
  </tableColumns>
  <tableStyleInfo name="TableStyleLight9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B98D0E1-7A8D-4C5E-8C66-C4B6E6A58293}" name="Rate_Card" displayName="Rate_Card" ref="A1:G387" tableType="queryTable" totalsRowShown="0">
  <autoFilter ref="A1:G387" xr:uid="{CB98D0E1-7A8D-4C5E-8C66-C4B6E6A58293}"/>
  <tableColumns count="7">
    <tableColumn id="2" xr3:uid="{0C669A43-7767-4C2E-BF38-7E15507A1672}" uniqueName="2" name="item ref no." queryTableFieldId="2" dataDxfId="136"/>
    <tableColumn id="3" xr3:uid="{1E4C47A0-7AE1-4D16-A89E-42077CA639C0}" uniqueName="3" name="Category" queryTableFieldId="3" dataDxfId="135"/>
    <tableColumn id="4" xr3:uid="{7E2D8BA7-8A27-4A8A-87C6-318CDE8284C0}" uniqueName="4" name="Description" queryTableFieldId="4" dataDxfId="134"/>
    <tableColumn id="5" xr3:uid="{4903E95A-832D-409B-A17C-0CEF3427E129}" uniqueName="5" name="Additional Details" queryTableFieldId="5" dataDxfId="133"/>
    <tableColumn id="9" xr3:uid="{AF5A1A74-4C4D-44D0-A06D-2FBFB4BAC24F}" uniqueName="9" name="Pricelist" queryTableFieldId="12" dataDxfId="132"/>
    <tableColumn id="6" xr3:uid="{0AC278DD-52C8-4AAC-9502-595D21CCECEE}" uniqueName="6" name="Ops - Brisk_Cost" queryTableFieldId="6"/>
    <tableColumn id="10" xr3:uid="{126D9918-6836-4408-A734-BD390466C548}" uniqueName="10" name="Client Cost" queryTableFieldId="1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2410834-887F-47F3-98E2-7EFFED51C19F}" name="StandardQuote" displayName="StandardQuote" ref="B7:T12" headerRowDxfId="127" dataDxfId="126" totalsRowDxfId="125">
  <tableColumns count="19">
    <tableColumn id="2" xr3:uid="{D3ACF5BC-543A-4CBA-96D4-26662206CE70}" name="Category" dataDxfId="123" totalsRowDxfId="124"/>
    <tableColumn id="1" xr3:uid="{B6AB4785-458E-492A-96DD-0A606ABBE4A0}" name="Irn" dataDxfId="122">
      <calculatedColumnFormula array="1">IF(StandardQuote[[#This Row],[Category]]="Fabrication",_xlfn.XLOOKUP(StandardQuote[[#This Row],[Category]]&amp;StandardQuote[[#This Row],[Subcategory]],Rate_Card[Category]&amp;Rate_Card[Description],Rate_Card[item ref no.],""),_xlfn.XLOOKUP(StandardQuote[[#This Row],[Category]]&amp;StandardQuote[[#This Row],[Subcategory]]&amp;StandardQuote[[#This Row],[Items Detailed Description]],Rate_Card[Category]&amp;Rate_Card[Description]&amp;Rate_Card[Additional Details],Rate_Card[item ref no.],""))</calculatedColumnFormula>
    </tableColumn>
    <tableColumn id="3" xr3:uid="{21218922-2978-4D99-87FB-1A71855A0D01}" name="Subcategory" dataDxfId="120" totalsRowDxfId="121"/>
    <tableColumn id="4" xr3:uid="{32C2B8F4-BD52-466C-973A-58C4FA585BB9}" name="Items Detailed Description" totalsRowLabel="Total" dataDxfId="118" totalsRowDxfId="119"/>
    <tableColumn id="5" xr3:uid="{0096BB87-A8B8-4664-8FAE-4637EF25BC01}" name="Ops_Cost" totalsRowFunction="sum" dataDxfId="116" totalsRowDxfId="117" dataCellStyle="Comma">
      <calculatedColumnFormula array="1">IF(StandardQuote[[#This Row],[Category]]="Fabrication",_xlfn.XLOOKUP($F$1&amp;StandardQuote[[#This Row],[Category]]&amp;StandardQuote[[#This Row],[Subcategory]],Rate_Card[Pricelist]&amp;Rate_Card[Category]&amp;Rate_Card[Description],Rate_Card[Ops - Brisk_Cost],""),_xlfn.XLOOKUP($F$1&amp;StandardQuote[[#This Row],[Category]]&amp;StandardQuote[[#This Row],[Subcategory]]&amp;StandardQuote[[#This Row],[Items Detailed Description]],Rate_Card[Pricelist]&amp;Rate_Card[Category]&amp;Rate_Card[Description]&amp;Rate_Card[Additional Details],Rate_Card[Ops - Brisk_Cost],""))</calculatedColumnFormula>
    </tableColumn>
    <tableColumn id="6" xr3:uid="{956F73DD-E88D-4427-8B94-A67D48D42A38}" name="Rate_Card (Kshs)" totalsRowFunction="sum" dataDxfId="114" totalsRowDxfId="115" dataCellStyle="Comma">
      <calculatedColumnFormula array="1">IF(StandardQuote[[#This Row],[Category]]="Fabrication",_xlfn.XLOOKUP($F$1&amp;StandardQuote[[#This Row],[Category]]&amp;StandardQuote[[#This Row],[Subcategory]],Rate_Card[Pricelist]&amp;Rate_Card[Category]&amp;Rate_Card[Description],Rate_Card[Client Cost],""),_xlfn.XLOOKUP($F$1&amp;StandardQuote[[#This Row],[Category]]&amp;StandardQuote[[#This Row],[Subcategory]]&amp;StandardQuote[[#This Row],[Items Detailed Description]],Rate_Card[Pricelist]&amp;Rate_Card[Category]&amp;Rate_Card[Description]&amp;Rate_Card[Additional Details],Rate_Card[Client Cost],""))</calculatedColumnFormula>
    </tableColumn>
    <tableColumn id="7" xr3:uid="{CCD7442C-5897-44DF-B400-969D8A3404D2}" name="Client_Rate" totalsRowFunction="sum" dataDxfId="112" totalsRowDxfId="113" dataCellStyle="Comma">
      <calculatedColumnFormula>StandardQuote[[#This Row],[Rate_Card (Kshs)]]</calculatedColumnFormula>
    </tableColumn>
    <tableColumn id="8" xr3:uid="{B4A1B3C4-237F-44A5-AB3F-5602C117282C}" name="Qty" dataDxfId="110" totalsRowDxfId="111"/>
    <tableColumn id="9" xr3:uid="{45AF578C-363A-4914-9D8A-54B33429ECD5}" name="Duration" dataDxfId="108" totalsRowDxfId="109"/>
    <tableColumn id="10" xr3:uid="{A7D946E5-5B22-4765-832B-A3C329CE6D34}" name="Total Cost" totalsRowFunction="sum" dataDxfId="106" totalsRowDxfId="107" dataCellStyle="Comma">
      <calculatedColumnFormula>IFERROR(StandardQuote[[#This Row],[Client_Rate]]*(IF(StandardQuote[[#This Row],[Qty]]=0,1,StandardQuote[[#This Row],[Qty]]))*(IF(StandardQuote[[#This Row],[Duration]]=0,1,StandardQuote[[#This Row],[Duration]])),"")</calculatedColumnFormula>
    </tableColumn>
    <tableColumn id="14" xr3:uid="{63214DEE-F1A7-45B3-AFA1-171C95F76245}" name="Total Ops Cost KE" dataDxfId="104" totalsRowDxfId="105" dataCellStyle="Comma">
      <calculatedColumnFormula>IFERROR(StandardQuote[[#This Row],[Ops_Cost]]*(IF(StandardQuote[[#This Row],[Qty]]=0,1,StandardQuote[[#This Row],[Qty]]))*(IF(StandardQuote[[#This Row],[Duration]]=0,1,StandardQuote[[#This Row],[Duration]])),"")</calculatedColumnFormula>
    </tableColumn>
    <tableColumn id="11" xr3:uid="{FDEED56D-D23C-40BB-8B7F-F4158CB46FBB}" name="Var (Rate Card Vs Client)" dataDxfId="102" totalsRowDxfId="103">
      <calculatedColumnFormula>IFERROR(StandardQuote[[#This Row],[Client_Rate]]-StandardQuote[[#This Row],[Rate_Card (Kshs)]],"")</calculatedColumnFormula>
    </tableColumn>
    <tableColumn id="12" xr3:uid="{9B40E3C3-7248-445B-A460-565D9DDD13B0}" name="Sales Margin (val)" dataDxfId="100" totalsRowDxfId="101">
      <calculatedColumnFormula>IFERROR(StandardQuote[[#This Row],[Total Cost]]-StandardQuote[[#This Row],[Total Ops Cost KE]],"")</calculatedColumnFormula>
    </tableColumn>
    <tableColumn id="13" xr3:uid="{A312B0DA-EDD7-4390-812B-CD547E69B6E9}" name="Sales Margin (%)" totalsRowFunction="average" dataDxfId="98" totalsRowDxfId="99">
      <calculatedColumnFormula>IFERROR(StandardQuote[[#This Row],[Sales Margin (val)]]/StandardQuote[[#This Row],[Total Cost]],"")</calculatedColumnFormula>
    </tableColumn>
    <tableColumn id="15" xr3:uid="{805B473F-B0C7-4955-B97C-C08B15DA3F98}" name="PM's Comment" dataDxfId="96" totalsRowDxfId="97"/>
    <tableColumn id="18" xr3:uid="{9F71BE15-F6D9-47A0-92B2-B7C5E8FF7281}" name="Approval" dataDxfId="94" totalsRowDxfId="95"/>
    <tableColumn id="19" xr3:uid="{0F02EED3-B366-4C38-A904-7A7558C9E49D}" name="MD Proposed Cost" dataDxfId="92" totalsRowDxfId="93" dataCellStyle="Comma" totalsRowCellStyle="Comma"/>
    <tableColumn id="20" xr3:uid="{6D95345C-A153-49BD-9508-C752D1AA10AE}" name="Final Approved" dataDxfId="90" totalsRowDxfId="91" dataCellStyle="Comma" totalsRowCellStyle="Comma">
      <calculatedColumnFormula>IF(StandardQuote[[#This Row],[Approval]],StandardQuote[[#This Row],[Total Cost]],StandardQuote[[#This Row],[MD Proposed Cost]])</calculatedColumnFormula>
    </tableColumn>
    <tableColumn id="21" xr3:uid="{666F7766-CE73-42AB-8CE8-79569DA01AD4}" name="Comments" dataDxfId="88" totalsRowDxfId="89" dataCellStyle="Comma" totalsRowCellStyle="Comma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E71205E-3355-4E1E-BE18-5BD91E8890F6}" name="GT" displayName="GT" ref="B7:T29" headerRowDxfId="83" dataDxfId="82" totalsRowDxfId="81">
  <tableColumns count="19">
    <tableColumn id="2" xr3:uid="{2F3D66D9-5357-410D-B005-E481930E230A}" name="Category" dataDxfId="79" totalsRowDxfId="80"/>
    <tableColumn id="1" xr3:uid="{D4BC8580-002A-48E1-A186-8020DBDBD37E}" name="Irn" dataDxfId="78">
      <calculatedColumnFormula array="1">IF(GT[[#This Row],[Category]]="Fabrication",_xlfn.XLOOKUP(GT[[#This Row],[Category]]&amp;GT[[#This Row],[Subcategory]],Rate_Card[Category]&amp;Rate_Card[Description],Rate_Card[item ref no.],""),_xlfn.XLOOKUP(GT[[#This Row],[Category]]&amp;GT[[#This Row],[Subcategory]]&amp;GT[[#This Row],[Items Detailed Description]],Rate_Card[Category]&amp;Rate_Card[Description]&amp;Rate_Card[Additional Details],Rate_Card[item ref no.],""))</calculatedColumnFormula>
    </tableColumn>
    <tableColumn id="3" xr3:uid="{CDFF516D-D9F4-4EF9-9892-2A928F482664}" name="Subcategory" dataDxfId="76" totalsRowDxfId="77"/>
    <tableColumn id="4" xr3:uid="{99ACD75A-F6E2-4BDD-B166-C233A4D32418}" name="Items Detailed Description" totalsRowLabel="Total" dataDxfId="74" totalsRowDxfId="75"/>
    <tableColumn id="5" xr3:uid="{878062C9-004A-421B-8D6D-61B97AE552E8}" name="Ops_Cost" totalsRowFunction="sum" dataDxfId="72" totalsRowDxfId="73" dataCellStyle="Comma">
      <calculatedColumnFormula array="1">IF(GT[[#This Row],[Category]]="Fabrication",_xlfn.XLOOKUP($F$1&amp;GT[[#This Row],[Category]]&amp;GT[[#This Row],[Subcategory]],Rate_Card[Pricelist]&amp;Rate_Card[Category]&amp;Rate_Card[Description],Rate_Card[Ops - Brisk_Cost],""),_xlfn.XLOOKUP($F$1&amp;GT[[#This Row],[Category]]&amp;GT[[#This Row],[Subcategory]]&amp;GT[[#This Row],[Items Detailed Description]],Rate_Card[Pricelist]&amp;Rate_Card[Category]&amp;Rate_Card[Description]&amp;Rate_Card[Additional Details],Rate_Card[Ops - Brisk_Cost],""))</calculatedColumnFormula>
    </tableColumn>
    <tableColumn id="6" xr3:uid="{8A3D3A04-8AAE-4549-8600-82C43C4DBD57}" name="Rate_Card (Kshs)" totalsRowFunction="sum" dataDxfId="70" totalsRowDxfId="71" dataCellStyle="Comma">
      <calculatedColumnFormula array="1">IF(GT[[#This Row],[Category]]="Fabrication",_xlfn.XLOOKUP($F$1&amp;GT[[#This Row],[Category]]&amp;GT[[#This Row],[Subcategory]],Rate_Card[Pricelist]&amp;Rate_Card[Category]&amp;Rate_Card[Description],Rate_Card[Client Cost],""),_xlfn.XLOOKUP($F$1&amp;GT[[#This Row],[Category]]&amp;GT[[#This Row],[Subcategory]]&amp;GT[[#This Row],[Items Detailed Description]],Rate_Card[Pricelist]&amp;Rate_Card[Category]&amp;Rate_Card[Description]&amp;Rate_Card[Additional Details],Rate_Card[Client Cost],""))</calculatedColumnFormula>
    </tableColumn>
    <tableColumn id="7" xr3:uid="{554BF13C-8FB5-49A7-B4EE-6CD55C48214A}" name="Client_Rate" totalsRowFunction="sum" dataDxfId="68" totalsRowDxfId="69" dataCellStyle="Comma">
      <calculatedColumnFormula>GT[[#This Row],[Rate_Card (Kshs)]]</calculatedColumnFormula>
    </tableColumn>
    <tableColumn id="8" xr3:uid="{C72A0662-2E37-4E83-B5C3-8219E8426DBD}" name="Qty" dataDxfId="66" totalsRowDxfId="67"/>
    <tableColumn id="9" xr3:uid="{DCB327D8-DE42-4219-B575-5CDE31036120}" name="Duration" dataDxfId="64" totalsRowDxfId="65"/>
    <tableColumn id="10" xr3:uid="{4CD19E18-EB33-4BC6-AEA1-9B472B2BD331}" name="Total Cost" totalsRowFunction="sum" dataDxfId="62" totalsRowDxfId="63" dataCellStyle="Comma">
      <calculatedColumnFormula>IFERROR(GT[[#This Row],[Client_Rate]]*(IF(GT[[#This Row],[Qty]]=0,1,GT[[#This Row],[Qty]]))*(IF(GT[[#This Row],[Duration]]=0,1,GT[[#This Row],[Duration]])),"")</calculatedColumnFormula>
    </tableColumn>
    <tableColumn id="14" xr3:uid="{C869A162-9FDF-49CD-896E-FBE66F273B1C}" name="Total Ops Cost KE" dataDxfId="60" totalsRowDxfId="61" dataCellStyle="Comma">
      <calculatedColumnFormula>IFERROR(GT[[#This Row],[Ops_Cost]]*(IF(GT[[#This Row],[Qty]]=0,1,GT[[#This Row],[Qty]]))*(IF(GT[[#This Row],[Duration]]=0,1,GT[[#This Row],[Duration]])),"")</calculatedColumnFormula>
    </tableColumn>
    <tableColumn id="11" xr3:uid="{FE7977D4-0E9C-47B7-94D9-F439AC4C0696}" name="Var (Rate Card Vs Client)" dataDxfId="58" totalsRowDxfId="59">
      <calculatedColumnFormula>IFERROR(GT[[#This Row],[Client_Rate]]-GT[[#This Row],[Rate_Card (Kshs)]],"")</calculatedColumnFormula>
    </tableColumn>
    <tableColumn id="12" xr3:uid="{244E5C40-73CD-42B4-AEE3-860A9989B798}" name="Sales Margin (val)" dataDxfId="56" totalsRowDxfId="57">
      <calculatedColumnFormula>IFERROR(GT[[#This Row],[Total Cost]]-GT[[#This Row],[Total Ops Cost KE]],"")</calculatedColumnFormula>
    </tableColumn>
    <tableColumn id="13" xr3:uid="{816F2DFF-4580-4428-9781-89FA8BE58601}" name="Sales Margin (%)" totalsRowFunction="average" dataDxfId="54" totalsRowDxfId="55">
      <calculatedColumnFormula>IFERROR(GT[[#This Row],[Sales Margin (val)]]/GT[[#This Row],[Total Cost]],"")</calculatedColumnFormula>
    </tableColumn>
    <tableColumn id="15" xr3:uid="{5B31014D-6B74-4B9B-B58C-98CD1B75B087}" name="PM's Comment" dataDxfId="52" totalsRowDxfId="53"/>
    <tableColumn id="18" xr3:uid="{FCBF7E78-FA30-4744-A0B3-959C2117CEE4}" name="Approval" dataDxfId="50" totalsRowDxfId="51"/>
    <tableColumn id="19" xr3:uid="{708344EC-BDBE-4687-86DA-46FCF0B1EA07}" name="MD Proposed Cost" dataDxfId="48" totalsRowDxfId="49" dataCellStyle="Comma" totalsRowCellStyle="Comma"/>
    <tableColumn id="20" xr3:uid="{7AD26470-1D0D-43A8-AF8F-6B2229DC780F}" name="Final Approved" dataDxfId="46" totalsRowDxfId="47" dataCellStyle="Comma" totalsRowCellStyle="Comma">
      <calculatedColumnFormula>IF(GT[[#This Row],[Approval]],GT[[#This Row],[Total Cost]],GT[[#This Row],[MD Proposed Cost]])</calculatedColumnFormula>
    </tableColumn>
    <tableColumn id="21" xr3:uid="{FF6DF8F6-FF1C-41A7-9EB3-C56E5941078E}" name="Comments" dataDxfId="44" totalsRowDxfId="45" dataCellStyle="Comma" totalsRowCellStyle="Comma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844F8D9-5E68-432D-97DD-AB577F411E22}" name="MT" displayName="MT" ref="B7:T20" headerRowDxfId="39" dataDxfId="38" totalsRowDxfId="37">
  <tableColumns count="19">
    <tableColumn id="2" xr3:uid="{7B0207B6-0FB7-4946-BD9E-D528FE9737F2}" name="Category" dataDxfId="35" totalsRowDxfId="36"/>
    <tableColumn id="1" xr3:uid="{19F94B20-7E61-48A5-A7C6-A52FCFDE63CD}" name="Irn" dataDxfId="34">
      <calculatedColumnFormula array="1">IF(MT[[#This Row],[Category]]="Fabrication",_xlfn.XLOOKUP(MT[[#This Row],[Category]]&amp;MT[[#This Row],[Subcategory]],Rate_Card[Category]&amp;Rate_Card[Description],Rate_Card[item ref no.],""),_xlfn.XLOOKUP(MT[[#This Row],[Category]]&amp;MT[[#This Row],[Subcategory]]&amp;MT[[#This Row],[Items Detailed Description]],Rate_Card[Category]&amp;Rate_Card[Description]&amp;Rate_Card[Additional Details],Rate_Card[item ref no.],""))</calculatedColumnFormula>
    </tableColumn>
    <tableColumn id="3" xr3:uid="{60A33A73-E56C-4F62-BB0A-9B5400FC6F15}" name="Subcategory" dataDxfId="32" totalsRowDxfId="33"/>
    <tableColumn id="4" xr3:uid="{9173A229-8951-4F17-BDFC-A158A04B9732}" name="Items Detailed Description" totalsRowLabel="Total" dataDxfId="30" totalsRowDxfId="31"/>
    <tableColumn id="5" xr3:uid="{644640E2-D1C5-4929-9BA3-54C4D00F4B5B}" name="Ops_Cost" totalsRowFunction="sum" dataDxfId="28" totalsRowDxfId="29" dataCellStyle="Comma">
      <calculatedColumnFormula array="1">IF(MT[[#This Row],[Category]]="Fabrication",_xlfn.XLOOKUP($F$1&amp;MT[[#This Row],[Category]]&amp;MT[[#This Row],[Subcategory]],Rate_Card[Pricelist]&amp;Rate_Card[Category]&amp;Rate_Card[Description],Rate_Card[Ops - Brisk_Cost],""),_xlfn.XLOOKUP($F$1&amp;MT[[#This Row],[Category]]&amp;MT[[#This Row],[Subcategory]]&amp;MT[[#This Row],[Items Detailed Description]],Rate_Card[Pricelist]&amp;Rate_Card[Category]&amp;Rate_Card[Description]&amp;Rate_Card[Additional Details],Rate_Card[Ops - Brisk_Cost],""))</calculatedColumnFormula>
    </tableColumn>
    <tableColumn id="6" xr3:uid="{AF86980E-CBBE-4A04-84A1-C73BF02593BA}" name="Rate_Card (Kshs)" totalsRowFunction="sum" dataDxfId="26" totalsRowDxfId="27" dataCellStyle="Comma">
      <calculatedColumnFormula array="1">IF(MT[[#This Row],[Category]]="Fabrication",_xlfn.XLOOKUP($F$1&amp;MT[[#This Row],[Category]]&amp;MT[[#This Row],[Subcategory]],Rate_Card[Pricelist]&amp;Rate_Card[Category]&amp;Rate_Card[Description],Rate_Card[Client Cost],""),_xlfn.XLOOKUP($F$1&amp;MT[[#This Row],[Category]]&amp;MT[[#This Row],[Subcategory]]&amp;MT[[#This Row],[Items Detailed Description]],Rate_Card[Pricelist]&amp;Rate_Card[Category]&amp;Rate_Card[Description]&amp;Rate_Card[Additional Details],Rate_Card[Client Cost],""))</calculatedColumnFormula>
    </tableColumn>
    <tableColumn id="7" xr3:uid="{2915DEB9-6DE2-49ED-BDAB-E5C073438197}" name="Client_Rate" totalsRowFunction="sum" dataDxfId="24" totalsRowDxfId="25" dataCellStyle="Comma">
      <calculatedColumnFormula>MT[[#This Row],[Rate_Card (Kshs)]]</calculatedColumnFormula>
    </tableColumn>
    <tableColumn id="8" xr3:uid="{B592CC91-BBCF-46BB-8CA9-6B8B36B80B06}" name="Qty" dataDxfId="22" totalsRowDxfId="23"/>
    <tableColumn id="9" xr3:uid="{476A2704-0D3B-4D36-A11D-5ACCD7A0E84F}" name="Duration" dataDxfId="20" totalsRowDxfId="21"/>
    <tableColumn id="10" xr3:uid="{18DE1BD8-3281-49A6-8A70-6DD8903732C3}" name="Total Cost" totalsRowFunction="sum" dataDxfId="18" totalsRowDxfId="19" dataCellStyle="Comma">
      <calculatedColumnFormula>IFERROR(MT[[#This Row],[Client_Rate]]*(IF(MT[[#This Row],[Qty]]=0,1,MT[[#This Row],[Qty]]))*(IF(MT[[#This Row],[Duration]]=0,1,MT[[#This Row],[Duration]])),"")</calculatedColumnFormula>
    </tableColumn>
    <tableColumn id="14" xr3:uid="{600B9007-359C-45AD-ACC5-C983633F9927}" name="Total Ops Cost KE" dataDxfId="16" totalsRowDxfId="17" dataCellStyle="Comma">
      <calculatedColumnFormula>IFERROR(MT[[#This Row],[Ops_Cost]]*(IF(MT[[#This Row],[Qty]]=0,1,MT[[#This Row],[Qty]]))*(IF(MT[[#This Row],[Duration]]=0,1,MT[[#This Row],[Duration]])),"")</calculatedColumnFormula>
    </tableColumn>
    <tableColumn id="11" xr3:uid="{F5AC9389-B0C4-43BB-BA44-B0A3B6AC7922}" name="Var (Rate Card Vs Client)" dataDxfId="14" totalsRowDxfId="15">
      <calculatedColumnFormula>IFERROR(MT[[#This Row],[Client_Rate]]-MT[[#This Row],[Rate_Card (Kshs)]],"")</calculatedColumnFormula>
    </tableColumn>
    <tableColumn id="12" xr3:uid="{83E60C9C-F3DB-4D96-9305-0A24BDDBC890}" name="Sales Margin (val)" dataDxfId="12" totalsRowDxfId="13">
      <calculatedColumnFormula>IFERROR(MT[[#This Row],[Total Cost]]-MT[[#This Row],[Total Ops Cost KE]],"")</calculatedColumnFormula>
    </tableColumn>
    <tableColumn id="13" xr3:uid="{D5A0E8D0-71D2-45C0-A6EA-58CCA0245C00}" name="Sales Margin (%)" totalsRowFunction="average" dataDxfId="10" totalsRowDxfId="11">
      <calculatedColumnFormula>IFERROR(MT[[#This Row],[Sales Margin (val)]]/MT[[#This Row],[Total Cost]],"")</calculatedColumnFormula>
    </tableColumn>
    <tableColumn id="15" xr3:uid="{8A4D374B-8B76-4C88-8308-C12A3B67E845}" name="PM's Comment" dataDxfId="8" totalsRowDxfId="9"/>
    <tableColumn id="18" xr3:uid="{84AA8DF2-4D14-458F-BEC2-D48D79243350}" name="Approval" dataDxfId="6" totalsRowDxfId="7"/>
    <tableColumn id="19" xr3:uid="{3BEB5BAA-91E1-4F3A-99EC-27CCD7CDD4E1}" name="MD Proposed Cost" dataDxfId="4" totalsRowDxfId="5" dataCellStyle="Comma" totalsRowCellStyle="Comma"/>
    <tableColumn id="20" xr3:uid="{CA75418F-889E-4543-9374-A29E580930C0}" name="Final Approved" dataDxfId="2" totalsRowDxfId="3" dataCellStyle="Comma" totalsRowCellStyle="Comma">
      <calculatedColumnFormula>IF(MT[[#This Row],[Approval]],MT[[#This Row],[Total Cost]],MT[[#This Row],[MD Proposed Cost]])</calculatedColumnFormula>
    </tableColumn>
    <tableColumn id="21" xr3:uid="{2FEB308B-9DC2-4E2A-8C8C-40482B2B1627}" name="Comments" dataDxfId="0" totalsRowDxfId="1" dataCellStyle="Comma" totalsRowCellStyle="Comma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BDC73-63EE-46F7-B469-1A16B62E99DD}">
  <sheetPr codeName="Sheet6">
    <pageSetUpPr fitToPage="1"/>
  </sheetPr>
  <dimension ref="A1:D323"/>
  <sheetViews>
    <sheetView zoomScaleNormal="100" workbookViewId="0">
      <selection activeCell="B1" sqref="B1"/>
    </sheetView>
  </sheetViews>
  <sheetFormatPr defaultRowHeight="14.45"/>
  <cols>
    <col min="1" max="1" width="14.5703125" bestFit="1" customWidth="1"/>
    <col min="2" max="2" width="73.5703125" bestFit="1" customWidth="1"/>
    <col min="3" max="3" width="80.7109375" bestFit="1" customWidth="1"/>
    <col min="4" max="4" width="12.85546875" bestFit="1" customWidth="1"/>
  </cols>
  <sheetData>
    <row r="1" spans="1:4">
      <c r="A1" t="s">
        <v>0</v>
      </c>
      <c r="B1" t="s">
        <v>1</v>
      </c>
      <c r="C1" t="s">
        <v>2</v>
      </c>
      <c r="D1" t="s">
        <v>3</v>
      </c>
    </row>
    <row r="2" spans="1:4">
      <c r="A2" t="s">
        <v>4</v>
      </c>
      <c r="B2" t="s">
        <v>5</v>
      </c>
      <c r="C2" t="s">
        <v>6</v>
      </c>
      <c r="D2" t="s">
        <v>7</v>
      </c>
    </row>
    <row r="3" spans="1:4">
      <c r="A3" t="s">
        <v>4</v>
      </c>
      <c r="B3" t="s">
        <v>8</v>
      </c>
      <c r="C3" t="s">
        <v>6</v>
      </c>
      <c r="D3" t="s">
        <v>9</v>
      </c>
    </row>
    <row r="4" spans="1:4">
      <c r="A4" t="s">
        <v>4</v>
      </c>
      <c r="B4" t="s">
        <v>10</v>
      </c>
      <c r="C4" t="s">
        <v>11</v>
      </c>
      <c r="D4" t="s">
        <v>12</v>
      </c>
    </row>
    <row r="5" spans="1:4">
      <c r="A5" t="s">
        <v>4</v>
      </c>
      <c r="B5" t="s">
        <v>13</v>
      </c>
      <c r="C5" t="s">
        <v>14</v>
      </c>
      <c r="D5" t="s">
        <v>15</v>
      </c>
    </row>
    <row r="6" spans="1:4">
      <c r="A6" t="s">
        <v>4</v>
      </c>
      <c r="B6" t="s">
        <v>16</v>
      </c>
      <c r="C6" t="s">
        <v>17</v>
      </c>
      <c r="D6" t="s">
        <v>18</v>
      </c>
    </row>
    <row r="7" spans="1:4">
      <c r="A7" t="s">
        <v>4</v>
      </c>
      <c r="B7" t="s">
        <v>19</v>
      </c>
      <c r="C7" t="s">
        <v>20</v>
      </c>
      <c r="D7" t="s">
        <v>21</v>
      </c>
    </row>
    <row r="8" spans="1:4">
      <c r="A8" t="s">
        <v>4</v>
      </c>
      <c r="B8" t="s">
        <v>22</v>
      </c>
      <c r="C8" t="s">
        <v>23</v>
      </c>
      <c r="D8" t="s">
        <v>24</v>
      </c>
    </row>
    <row r="9" spans="1:4">
      <c r="A9" t="s">
        <v>4</v>
      </c>
      <c r="B9" t="s">
        <v>25</v>
      </c>
      <c r="C9" t="s">
        <v>26</v>
      </c>
      <c r="D9" t="s">
        <v>27</v>
      </c>
    </row>
    <row r="10" spans="1:4">
      <c r="A10" t="s">
        <v>4</v>
      </c>
      <c r="B10" t="s">
        <v>28</v>
      </c>
      <c r="C10" t="s">
        <v>23</v>
      </c>
      <c r="D10" t="s">
        <v>29</v>
      </c>
    </row>
    <row r="11" spans="1:4">
      <c r="A11" t="s">
        <v>4</v>
      </c>
      <c r="B11" t="s">
        <v>30</v>
      </c>
      <c r="C11" t="s">
        <v>31</v>
      </c>
      <c r="D11" t="s">
        <v>32</v>
      </c>
    </row>
    <row r="12" spans="1:4">
      <c r="A12" t="s">
        <v>4</v>
      </c>
      <c r="B12" t="s">
        <v>33</v>
      </c>
      <c r="C12" t="s">
        <v>34</v>
      </c>
      <c r="D12" t="s">
        <v>35</v>
      </c>
    </row>
    <row r="13" spans="1:4">
      <c r="A13" t="s">
        <v>4</v>
      </c>
      <c r="B13" t="s">
        <v>36</v>
      </c>
      <c r="C13" t="s">
        <v>23</v>
      </c>
      <c r="D13" t="s">
        <v>37</v>
      </c>
    </row>
    <row r="14" spans="1:4">
      <c r="A14" t="s">
        <v>4</v>
      </c>
      <c r="B14" t="s">
        <v>38</v>
      </c>
      <c r="C14" t="s">
        <v>23</v>
      </c>
      <c r="D14" t="s">
        <v>39</v>
      </c>
    </row>
    <row r="15" spans="1:4">
      <c r="A15" t="s">
        <v>4</v>
      </c>
      <c r="B15" t="s">
        <v>40</v>
      </c>
      <c r="C15" t="s">
        <v>41</v>
      </c>
      <c r="D15" t="s">
        <v>42</v>
      </c>
    </row>
    <row r="16" spans="1:4">
      <c r="A16" t="s">
        <v>4</v>
      </c>
      <c r="B16" t="s">
        <v>43</v>
      </c>
      <c r="D16" t="s">
        <v>44</v>
      </c>
    </row>
    <row r="17" spans="1:4">
      <c r="A17" t="s">
        <v>4</v>
      </c>
      <c r="B17" t="s">
        <v>45</v>
      </c>
      <c r="C17" t="s">
        <v>46</v>
      </c>
      <c r="D17" t="s">
        <v>47</v>
      </c>
    </row>
    <row r="18" spans="1:4">
      <c r="A18" t="s">
        <v>4</v>
      </c>
      <c r="B18" t="s">
        <v>48</v>
      </c>
      <c r="C18" t="s">
        <v>49</v>
      </c>
      <c r="D18" t="s">
        <v>50</v>
      </c>
    </row>
    <row r="19" spans="1:4">
      <c r="A19" t="s">
        <v>4</v>
      </c>
      <c r="B19" t="s">
        <v>51</v>
      </c>
      <c r="C19" t="s">
        <v>49</v>
      </c>
      <c r="D19" t="s">
        <v>52</v>
      </c>
    </row>
    <row r="20" spans="1:4">
      <c r="A20" t="s">
        <v>4</v>
      </c>
      <c r="B20" t="s">
        <v>53</v>
      </c>
      <c r="C20" t="s">
        <v>54</v>
      </c>
      <c r="D20" t="s">
        <v>55</v>
      </c>
    </row>
    <row r="21" spans="1:4">
      <c r="A21" t="s">
        <v>4</v>
      </c>
      <c r="B21" t="s">
        <v>53</v>
      </c>
      <c r="C21" t="s">
        <v>49</v>
      </c>
      <c r="D21" t="s">
        <v>56</v>
      </c>
    </row>
    <row r="22" spans="1:4">
      <c r="A22" t="s">
        <v>4</v>
      </c>
      <c r="B22" t="s">
        <v>57</v>
      </c>
      <c r="C22" t="s">
        <v>58</v>
      </c>
      <c r="D22" t="s">
        <v>59</v>
      </c>
    </row>
    <row r="23" spans="1:4">
      <c r="A23" t="s">
        <v>60</v>
      </c>
      <c r="B23" t="s">
        <v>61</v>
      </c>
      <c r="C23" t="s">
        <v>62</v>
      </c>
      <c r="D23" t="s">
        <v>63</v>
      </c>
    </row>
    <row r="24" spans="1:4">
      <c r="A24" t="s">
        <v>60</v>
      </c>
      <c r="B24" t="s">
        <v>61</v>
      </c>
      <c r="C24" t="s">
        <v>64</v>
      </c>
      <c r="D24" t="s">
        <v>65</v>
      </c>
    </row>
    <row r="25" spans="1:4">
      <c r="A25" t="s">
        <v>60</v>
      </c>
      <c r="B25" t="s">
        <v>66</v>
      </c>
      <c r="C25" t="s">
        <v>67</v>
      </c>
      <c r="D25" t="s">
        <v>68</v>
      </c>
    </row>
    <row r="26" spans="1:4">
      <c r="A26" t="s">
        <v>60</v>
      </c>
      <c r="B26" t="s">
        <v>69</v>
      </c>
      <c r="C26" t="s">
        <v>70</v>
      </c>
      <c r="D26" t="s">
        <v>71</v>
      </c>
    </row>
    <row r="27" spans="1:4">
      <c r="A27" t="s">
        <v>60</v>
      </c>
      <c r="B27" t="s">
        <v>72</v>
      </c>
      <c r="C27" t="s">
        <v>73</v>
      </c>
      <c r="D27" t="s">
        <v>74</v>
      </c>
    </row>
    <row r="28" spans="1:4">
      <c r="A28" t="s">
        <v>60</v>
      </c>
      <c r="B28" t="s">
        <v>75</v>
      </c>
      <c r="C28" t="s">
        <v>76</v>
      </c>
      <c r="D28" t="s">
        <v>77</v>
      </c>
    </row>
    <row r="29" spans="1:4">
      <c r="A29" t="s">
        <v>60</v>
      </c>
      <c r="B29" t="s">
        <v>78</v>
      </c>
      <c r="C29" t="s">
        <v>79</v>
      </c>
      <c r="D29" t="s">
        <v>80</v>
      </c>
    </row>
    <row r="30" spans="1:4">
      <c r="A30" t="s">
        <v>60</v>
      </c>
      <c r="B30" t="s">
        <v>81</v>
      </c>
      <c r="C30" t="s">
        <v>82</v>
      </c>
      <c r="D30" t="s">
        <v>83</v>
      </c>
    </row>
    <row r="31" spans="1:4">
      <c r="A31" t="s">
        <v>60</v>
      </c>
      <c r="B31" t="s">
        <v>84</v>
      </c>
      <c r="C31" t="s">
        <v>85</v>
      </c>
      <c r="D31" t="s">
        <v>86</v>
      </c>
    </row>
    <row r="32" spans="1:4">
      <c r="A32" t="s">
        <v>60</v>
      </c>
      <c r="B32" t="s">
        <v>87</v>
      </c>
      <c r="C32" t="s">
        <v>88</v>
      </c>
      <c r="D32" t="s">
        <v>89</v>
      </c>
    </row>
    <row r="33" spans="1:4">
      <c r="A33" t="s">
        <v>60</v>
      </c>
      <c r="B33" t="s">
        <v>90</v>
      </c>
      <c r="C33" t="s">
        <v>91</v>
      </c>
      <c r="D33" t="s">
        <v>92</v>
      </c>
    </row>
    <row r="34" spans="1:4">
      <c r="A34" t="s">
        <v>60</v>
      </c>
      <c r="B34" t="s">
        <v>93</v>
      </c>
      <c r="C34" t="s">
        <v>94</v>
      </c>
      <c r="D34" t="s">
        <v>95</v>
      </c>
    </row>
    <row r="35" spans="1:4">
      <c r="A35" t="s">
        <v>60</v>
      </c>
      <c r="B35" t="s">
        <v>96</v>
      </c>
      <c r="C35" t="s">
        <v>97</v>
      </c>
      <c r="D35" t="s">
        <v>98</v>
      </c>
    </row>
    <row r="36" spans="1:4">
      <c r="A36" t="s">
        <v>60</v>
      </c>
      <c r="B36" t="s">
        <v>99</v>
      </c>
      <c r="C36" t="s">
        <v>100</v>
      </c>
      <c r="D36" t="s">
        <v>101</v>
      </c>
    </row>
    <row r="37" spans="1:4">
      <c r="A37" t="s">
        <v>60</v>
      </c>
      <c r="B37" t="s">
        <v>102</v>
      </c>
      <c r="C37" t="s">
        <v>103</v>
      </c>
      <c r="D37" t="s">
        <v>104</v>
      </c>
    </row>
    <row r="38" spans="1:4">
      <c r="A38" t="s">
        <v>60</v>
      </c>
      <c r="B38" t="s">
        <v>105</v>
      </c>
      <c r="C38" t="s">
        <v>106</v>
      </c>
      <c r="D38" t="s">
        <v>107</v>
      </c>
    </row>
    <row r="39" spans="1:4">
      <c r="A39" t="s">
        <v>60</v>
      </c>
      <c r="B39" t="s">
        <v>108</v>
      </c>
      <c r="C39" t="s">
        <v>109</v>
      </c>
      <c r="D39" t="s">
        <v>110</v>
      </c>
    </row>
    <row r="40" spans="1:4">
      <c r="A40" t="s">
        <v>60</v>
      </c>
      <c r="B40" t="s">
        <v>111</v>
      </c>
      <c r="C40" t="s">
        <v>112</v>
      </c>
      <c r="D40" t="s">
        <v>113</v>
      </c>
    </row>
    <row r="41" spans="1:4">
      <c r="A41" t="s">
        <v>60</v>
      </c>
      <c r="B41" t="s">
        <v>114</v>
      </c>
      <c r="C41" t="s">
        <v>112</v>
      </c>
      <c r="D41" t="s">
        <v>115</v>
      </c>
    </row>
    <row r="42" spans="1:4">
      <c r="A42" t="s">
        <v>60</v>
      </c>
      <c r="B42" t="s">
        <v>116</v>
      </c>
      <c r="C42" t="s">
        <v>117</v>
      </c>
      <c r="D42" t="s">
        <v>118</v>
      </c>
    </row>
    <row r="43" spans="1:4">
      <c r="A43" t="s">
        <v>60</v>
      </c>
      <c r="B43" t="s">
        <v>119</v>
      </c>
      <c r="C43" t="s">
        <v>120</v>
      </c>
      <c r="D43" t="s">
        <v>121</v>
      </c>
    </row>
    <row r="44" spans="1:4">
      <c r="A44" t="s">
        <v>60</v>
      </c>
      <c r="B44" t="s">
        <v>122</v>
      </c>
      <c r="C44" t="s">
        <v>123</v>
      </c>
      <c r="D44" t="s">
        <v>124</v>
      </c>
    </row>
    <row r="45" spans="1:4">
      <c r="A45" t="s">
        <v>60</v>
      </c>
      <c r="B45" t="s">
        <v>125</v>
      </c>
      <c r="C45" t="s">
        <v>126</v>
      </c>
      <c r="D45" t="s">
        <v>127</v>
      </c>
    </row>
    <row r="46" spans="1:4">
      <c r="A46" t="s">
        <v>60</v>
      </c>
      <c r="B46" t="s">
        <v>128</v>
      </c>
      <c r="C46" t="s">
        <v>129</v>
      </c>
      <c r="D46" t="s">
        <v>130</v>
      </c>
    </row>
    <row r="47" spans="1:4">
      <c r="A47" t="s">
        <v>60</v>
      </c>
      <c r="B47" t="s">
        <v>131</v>
      </c>
      <c r="C47" t="s">
        <v>117</v>
      </c>
      <c r="D47" t="s">
        <v>132</v>
      </c>
    </row>
    <row r="48" spans="1:4">
      <c r="A48" t="s">
        <v>60</v>
      </c>
      <c r="B48" t="s">
        <v>133</v>
      </c>
      <c r="C48" t="s">
        <v>134</v>
      </c>
      <c r="D48" t="s">
        <v>135</v>
      </c>
    </row>
    <row r="49" spans="1:4">
      <c r="A49" t="s">
        <v>60</v>
      </c>
      <c r="B49" t="s">
        <v>136</v>
      </c>
      <c r="C49" t="s">
        <v>117</v>
      </c>
      <c r="D49" t="s">
        <v>137</v>
      </c>
    </row>
    <row r="50" spans="1:4">
      <c r="A50" t="s">
        <v>60</v>
      </c>
      <c r="B50" t="s">
        <v>138</v>
      </c>
      <c r="C50" t="s">
        <v>139</v>
      </c>
      <c r="D50" t="s">
        <v>140</v>
      </c>
    </row>
    <row r="51" spans="1:4">
      <c r="A51" t="s">
        <v>60</v>
      </c>
      <c r="B51" t="s">
        <v>141</v>
      </c>
      <c r="C51" t="s">
        <v>142</v>
      </c>
      <c r="D51" t="s">
        <v>143</v>
      </c>
    </row>
    <row r="52" spans="1:4">
      <c r="A52" t="s">
        <v>60</v>
      </c>
      <c r="B52" t="s">
        <v>144</v>
      </c>
      <c r="C52" t="s">
        <v>145</v>
      </c>
      <c r="D52" t="s">
        <v>146</v>
      </c>
    </row>
    <row r="53" spans="1:4">
      <c r="A53" t="s">
        <v>60</v>
      </c>
      <c r="B53" t="s">
        <v>147</v>
      </c>
      <c r="C53" t="s">
        <v>148</v>
      </c>
      <c r="D53" t="s">
        <v>149</v>
      </c>
    </row>
    <row r="54" spans="1:4">
      <c r="A54" t="s">
        <v>60</v>
      </c>
      <c r="B54" t="s">
        <v>150</v>
      </c>
      <c r="C54" t="s">
        <v>151</v>
      </c>
      <c r="D54" t="s">
        <v>152</v>
      </c>
    </row>
    <row r="55" spans="1:4">
      <c r="A55" t="s">
        <v>60</v>
      </c>
      <c r="B55" t="s">
        <v>153</v>
      </c>
      <c r="C55" t="s">
        <v>154</v>
      </c>
      <c r="D55" t="s">
        <v>155</v>
      </c>
    </row>
    <row r="56" spans="1:4">
      <c r="A56" t="s">
        <v>60</v>
      </c>
      <c r="B56" t="s">
        <v>156</v>
      </c>
      <c r="C56" t="s">
        <v>157</v>
      </c>
      <c r="D56" t="s">
        <v>158</v>
      </c>
    </row>
    <row r="57" spans="1:4">
      <c r="A57" t="s">
        <v>60</v>
      </c>
      <c r="B57" t="s">
        <v>159</v>
      </c>
      <c r="C57" t="s">
        <v>160</v>
      </c>
      <c r="D57" t="s">
        <v>161</v>
      </c>
    </row>
    <row r="58" spans="1:4">
      <c r="A58" t="s">
        <v>60</v>
      </c>
      <c r="B58" t="s">
        <v>162</v>
      </c>
      <c r="C58" t="s">
        <v>163</v>
      </c>
      <c r="D58" t="s">
        <v>164</v>
      </c>
    </row>
    <row r="59" spans="1:4">
      <c r="A59" t="s">
        <v>60</v>
      </c>
      <c r="B59" t="s">
        <v>165</v>
      </c>
      <c r="C59" t="s">
        <v>166</v>
      </c>
      <c r="D59" t="s">
        <v>167</v>
      </c>
    </row>
    <row r="60" spans="1:4">
      <c r="A60" t="s">
        <v>60</v>
      </c>
      <c r="B60" t="s">
        <v>168</v>
      </c>
      <c r="C60" t="s">
        <v>169</v>
      </c>
      <c r="D60" t="s">
        <v>170</v>
      </c>
    </row>
    <row r="61" spans="1:4">
      <c r="A61" t="s">
        <v>60</v>
      </c>
      <c r="B61" t="s">
        <v>171</v>
      </c>
      <c r="C61" t="s">
        <v>172</v>
      </c>
      <c r="D61" t="s">
        <v>173</v>
      </c>
    </row>
    <row r="62" spans="1:4">
      <c r="A62" t="s">
        <v>60</v>
      </c>
      <c r="B62" t="s">
        <v>174</v>
      </c>
      <c r="C62" t="s">
        <v>175</v>
      </c>
      <c r="D62" t="s">
        <v>176</v>
      </c>
    </row>
    <row r="63" spans="1:4">
      <c r="A63" t="s">
        <v>60</v>
      </c>
      <c r="B63" t="s">
        <v>177</v>
      </c>
      <c r="C63" t="s">
        <v>178</v>
      </c>
      <c r="D63" t="s">
        <v>179</v>
      </c>
    </row>
    <row r="64" spans="1:4">
      <c r="A64" t="s">
        <v>60</v>
      </c>
      <c r="B64" t="s">
        <v>180</v>
      </c>
      <c r="C64" t="s">
        <v>163</v>
      </c>
      <c r="D64" t="s">
        <v>181</v>
      </c>
    </row>
    <row r="65" spans="1:4">
      <c r="A65" t="s">
        <v>60</v>
      </c>
      <c r="B65" t="s">
        <v>182</v>
      </c>
      <c r="C65" t="s">
        <v>117</v>
      </c>
      <c r="D65" t="s">
        <v>183</v>
      </c>
    </row>
    <row r="66" spans="1:4">
      <c r="A66" t="s">
        <v>60</v>
      </c>
      <c r="B66" t="s">
        <v>184</v>
      </c>
      <c r="C66" t="s">
        <v>117</v>
      </c>
      <c r="D66" t="s">
        <v>185</v>
      </c>
    </row>
    <row r="67" spans="1:4">
      <c r="A67" t="s">
        <v>60</v>
      </c>
      <c r="B67" t="s">
        <v>186</v>
      </c>
      <c r="C67" t="s">
        <v>187</v>
      </c>
      <c r="D67" t="s">
        <v>188</v>
      </c>
    </row>
    <row r="68" spans="1:4">
      <c r="A68" t="s">
        <v>60</v>
      </c>
      <c r="B68" t="s">
        <v>189</v>
      </c>
      <c r="C68" t="s">
        <v>190</v>
      </c>
      <c r="D68" t="s">
        <v>191</v>
      </c>
    </row>
    <row r="69" spans="1:4">
      <c r="A69" t="s">
        <v>60</v>
      </c>
      <c r="B69" t="s">
        <v>192</v>
      </c>
      <c r="C69" t="s">
        <v>193</v>
      </c>
      <c r="D69" t="s">
        <v>194</v>
      </c>
    </row>
    <row r="70" spans="1:4">
      <c r="A70" t="s">
        <v>60</v>
      </c>
      <c r="B70" t="s">
        <v>195</v>
      </c>
      <c r="C70" t="s">
        <v>196</v>
      </c>
      <c r="D70" t="s">
        <v>197</v>
      </c>
    </row>
    <row r="71" spans="1:4">
      <c r="A71" t="s">
        <v>60</v>
      </c>
      <c r="B71" t="s">
        <v>198</v>
      </c>
      <c r="C71" t="s">
        <v>199</v>
      </c>
      <c r="D71" t="s">
        <v>200</v>
      </c>
    </row>
    <row r="72" spans="1:4">
      <c r="A72" t="s">
        <v>60</v>
      </c>
      <c r="B72" t="s">
        <v>201</v>
      </c>
      <c r="C72" t="s">
        <v>202</v>
      </c>
      <c r="D72" t="s">
        <v>203</v>
      </c>
    </row>
    <row r="73" spans="1:4">
      <c r="A73" t="s">
        <v>60</v>
      </c>
      <c r="B73" t="s">
        <v>204</v>
      </c>
      <c r="C73" t="s">
        <v>205</v>
      </c>
      <c r="D73" t="s">
        <v>206</v>
      </c>
    </row>
    <row r="74" spans="1:4">
      <c r="A74" t="s">
        <v>60</v>
      </c>
      <c r="B74" t="s">
        <v>207</v>
      </c>
      <c r="C74" t="s">
        <v>163</v>
      </c>
      <c r="D74" t="s">
        <v>208</v>
      </c>
    </row>
    <row r="75" spans="1:4">
      <c r="A75" t="s">
        <v>60</v>
      </c>
      <c r="B75" t="s">
        <v>209</v>
      </c>
      <c r="C75" t="s">
        <v>210</v>
      </c>
      <c r="D75" t="s">
        <v>211</v>
      </c>
    </row>
    <row r="76" spans="1:4">
      <c r="A76" t="s">
        <v>60</v>
      </c>
      <c r="B76" t="s">
        <v>212</v>
      </c>
      <c r="C76" t="s">
        <v>213</v>
      </c>
      <c r="D76" t="s">
        <v>214</v>
      </c>
    </row>
    <row r="77" spans="1:4">
      <c r="A77" t="s">
        <v>60</v>
      </c>
      <c r="B77" t="s">
        <v>215</v>
      </c>
      <c r="C77" t="s">
        <v>112</v>
      </c>
      <c r="D77" t="s">
        <v>216</v>
      </c>
    </row>
    <row r="78" spans="1:4">
      <c r="A78" t="s">
        <v>60</v>
      </c>
      <c r="B78" t="s">
        <v>217</v>
      </c>
      <c r="C78" t="s">
        <v>112</v>
      </c>
      <c r="D78" t="s">
        <v>218</v>
      </c>
    </row>
    <row r="79" spans="1:4">
      <c r="A79" t="s">
        <v>60</v>
      </c>
      <c r="B79" t="s">
        <v>219</v>
      </c>
      <c r="C79" t="s">
        <v>220</v>
      </c>
      <c r="D79" t="s">
        <v>221</v>
      </c>
    </row>
    <row r="80" spans="1:4">
      <c r="A80" t="s">
        <v>60</v>
      </c>
      <c r="B80" t="s">
        <v>222</v>
      </c>
      <c r="C80" t="s">
        <v>223</v>
      </c>
      <c r="D80" t="s">
        <v>224</v>
      </c>
    </row>
    <row r="81" spans="1:4">
      <c r="A81" t="s">
        <v>60</v>
      </c>
      <c r="B81" t="s">
        <v>225</v>
      </c>
      <c r="C81" t="s">
        <v>223</v>
      </c>
      <c r="D81" t="s">
        <v>226</v>
      </c>
    </row>
    <row r="82" spans="1:4">
      <c r="A82" t="s">
        <v>60</v>
      </c>
      <c r="B82" t="s">
        <v>227</v>
      </c>
      <c r="C82" t="s">
        <v>223</v>
      </c>
      <c r="D82" t="s">
        <v>228</v>
      </c>
    </row>
    <row r="83" spans="1:4">
      <c r="A83" t="s">
        <v>60</v>
      </c>
      <c r="B83" t="s">
        <v>229</v>
      </c>
      <c r="C83" t="s">
        <v>230</v>
      </c>
      <c r="D83" t="s">
        <v>231</v>
      </c>
    </row>
    <row r="84" spans="1:4">
      <c r="A84" t="s">
        <v>60</v>
      </c>
      <c r="B84" t="s">
        <v>232</v>
      </c>
      <c r="C84" t="s">
        <v>230</v>
      </c>
      <c r="D84" t="s">
        <v>233</v>
      </c>
    </row>
    <row r="85" spans="1:4">
      <c r="A85" t="s">
        <v>60</v>
      </c>
      <c r="B85" t="s">
        <v>234</v>
      </c>
      <c r="C85" t="s">
        <v>230</v>
      </c>
      <c r="D85" t="s">
        <v>235</v>
      </c>
    </row>
    <row r="86" spans="1:4">
      <c r="A86" t="s">
        <v>60</v>
      </c>
      <c r="B86" t="s">
        <v>236</v>
      </c>
      <c r="C86" t="s">
        <v>117</v>
      </c>
      <c r="D86" t="s">
        <v>237</v>
      </c>
    </row>
    <row r="87" spans="1:4">
      <c r="A87" t="s">
        <v>60</v>
      </c>
      <c r="B87" t="s">
        <v>238</v>
      </c>
      <c r="C87" t="s">
        <v>239</v>
      </c>
      <c r="D87" t="s">
        <v>240</v>
      </c>
    </row>
    <row r="88" spans="1:4">
      <c r="A88" t="s">
        <v>60</v>
      </c>
      <c r="B88" t="s">
        <v>241</v>
      </c>
      <c r="C88" t="s">
        <v>242</v>
      </c>
      <c r="D88" t="s">
        <v>243</v>
      </c>
    </row>
    <row r="89" spans="1:4">
      <c r="A89" t="s">
        <v>60</v>
      </c>
      <c r="B89" t="s">
        <v>244</v>
      </c>
      <c r="C89" t="s">
        <v>148</v>
      </c>
      <c r="D89" t="s">
        <v>245</v>
      </c>
    </row>
    <row r="90" spans="1:4">
      <c r="A90" t="s">
        <v>60</v>
      </c>
      <c r="B90" t="s">
        <v>246</v>
      </c>
      <c r="C90" t="s">
        <v>145</v>
      </c>
      <c r="D90" t="s">
        <v>247</v>
      </c>
    </row>
    <row r="91" spans="1:4">
      <c r="A91" t="s">
        <v>60</v>
      </c>
      <c r="B91" t="s">
        <v>248</v>
      </c>
      <c r="C91" t="s">
        <v>112</v>
      </c>
      <c r="D91" t="s">
        <v>249</v>
      </c>
    </row>
    <row r="92" spans="1:4">
      <c r="A92" t="s">
        <v>60</v>
      </c>
      <c r="B92" t="s">
        <v>250</v>
      </c>
      <c r="C92" t="s">
        <v>112</v>
      </c>
      <c r="D92" t="s">
        <v>251</v>
      </c>
    </row>
    <row r="93" spans="1:4">
      <c r="A93" t="s">
        <v>60</v>
      </c>
      <c r="B93" t="s">
        <v>252</v>
      </c>
      <c r="C93" t="s">
        <v>112</v>
      </c>
      <c r="D93" t="s">
        <v>253</v>
      </c>
    </row>
    <row r="94" spans="1:4">
      <c r="A94" t="s">
        <v>60</v>
      </c>
      <c r="B94" t="s">
        <v>254</v>
      </c>
      <c r="C94" t="s">
        <v>255</v>
      </c>
      <c r="D94" t="s">
        <v>256</v>
      </c>
    </row>
    <row r="95" spans="1:4">
      <c r="A95" t="s">
        <v>60</v>
      </c>
      <c r="B95" t="s">
        <v>257</v>
      </c>
      <c r="C95" t="s">
        <v>258</v>
      </c>
      <c r="D95" t="s">
        <v>259</v>
      </c>
    </row>
    <row r="96" spans="1:4">
      <c r="A96" t="s">
        <v>60</v>
      </c>
      <c r="B96" t="s">
        <v>260</v>
      </c>
      <c r="C96" t="s">
        <v>145</v>
      </c>
      <c r="D96" t="s">
        <v>261</v>
      </c>
    </row>
    <row r="97" spans="1:4">
      <c r="A97" t="s">
        <v>60</v>
      </c>
      <c r="B97" t="s">
        <v>262</v>
      </c>
      <c r="C97" t="s">
        <v>148</v>
      </c>
      <c r="D97" t="s">
        <v>263</v>
      </c>
    </row>
    <row r="98" spans="1:4">
      <c r="A98" t="s">
        <v>60</v>
      </c>
      <c r="B98" t="s">
        <v>264</v>
      </c>
      <c r="C98" t="s">
        <v>265</v>
      </c>
      <c r="D98" t="s">
        <v>266</v>
      </c>
    </row>
    <row r="99" spans="1:4">
      <c r="A99" t="s">
        <v>60</v>
      </c>
      <c r="B99" t="s">
        <v>267</v>
      </c>
      <c r="C99" t="s">
        <v>268</v>
      </c>
      <c r="D99" t="s">
        <v>269</v>
      </c>
    </row>
    <row r="100" spans="1:4">
      <c r="A100" t="s">
        <v>60</v>
      </c>
      <c r="B100" t="s">
        <v>270</v>
      </c>
      <c r="C100" t="s">
        <v>271</v>
      </c>
      <c r="D100" t="s">
        <v>272</v>
      </c>
    </row>
    <row r="101" spans="1:4">
      <c r="A101" t="s">
        <v>60</v>
      </c>
      <c r="B101" t="s">
        <v>273</v>
      </c>
      <c r="C101" t="s">
        <v>274</v>
      </c>
      <c r="D101" t="s">
        <v>275</v>
      </c>
    </row>
    <row r="102" spans="1:4">
      <c r="A102" t="s">
        <v>60</v>
      </c>
      <c r="B102" t="s">
        <v>276</v>
      </c>
      <c r="C102" t="s">
        <v>277</v>
      </c>
      <c r="D102" t="s">
        <v>278</v>
      </c>
    </row>
    <row r="103" spans="1:4">
      <c r="A103" t="s">
        <v>60</v>
      </c>
      <c r="B103" t="s">
        <v>279</v>
      </c>
      <c r="C103" t="s">
        <v>280</v>
      </c>
      <c r="D103" t="s">
        <v>281</v>
      </c>
    </row>
    <row r="104" spans="1:4">
      <c r="A104" t="s">
        <v>60</v>
      </c>
      <c r="B104" t="s">
        <v>282</v>
      </c>
      <c r="C104" t="s">
        <v>283</v>
      </c>
      <c r="D104" t="s">
        <v>284</v>
      </c>
    </row>
    <row r="105" spans="1:4">
      <c r="A105" t="s">
        <v>60</v>
      </c>
      <c r="B105" t="s">
        <v>285</v>
      </c>
      <c r="C105" t="s">
        <v>286</v>
      </c>
      <c r="D105" t="s">
        <v>287</v>
      </c>
    </row>
    <row r="106" spans="1:4">
      <c r="A106" t="s">
        <v>60</v>
      </c>
      <c r="B106" t="s">
        <v>288</v>
      </c>
      <c r="C106" t="s">
        <v>289</v>
      </c>
      <c r="D106" t="s">
        <v>290</v>
      </c>
    </row>
    <row r="107" spans="1:4">
      <c r="A107" t="s">
        <v>60</v>
      </c>
      <c r="B107" t="s">
        <v>291</v>
      </c>
      <c r="C107" t="s">
        <v>178</v>
      </c>
      <c r="D107" t="s">
        <v>292</v>
      </c>
    </row>
    <row r="108" spans="1:4">
      <c r="A108" t="s">
        <v>60</v>
      </c>
      <c r="B108" t="s">
        <v>293</v>
      </c>
      <c r="C108" t="s">
        <v>294</v>
      </c>
      <c r="D108" t="s">
        <v>295</v>
      </c>
    </row>
    <row r="109" spans="1:4">
      <c r="A109" t="s">
        <v>60</v>
      </c>
      <c r="B109" t="s">
        <v>296</v>
      </c>
      <c r="C109" t="s">
        <v>294</v>
      </c>
      <c r="D109" t="s">
        <v>297</v>
      </c>
    </row>
    <row r="110" spans="1:4">
      <c r="A110" t="s">
        <v>60</v>
      </c>
      <c r="B110" t="s">
        <v>298</v>
      </c>
      <c r="C110" t="s">
        <v>294</v>
      </c>
      <c r="D110" t="s">
        <v>299</v>
      </c>
    </row>
    <row r="111" spans="1:4">
      <c r="A111" t="s">
        <v>60</v>
      </c>
      <c r="B111" t="s">
        <v>300</v>
      </c>
      <c r="C111" t="s">
        <v>301</v>
      </c>
      <c r="D111" t="s">
        <v>302</v>
      </c>
    </row>
    <row r="112" spans="1:4">
      <c r="A112" t="s">
        <v>60</v>
      </c>
      <c r="B112" t="s">
        <v>303</v>
      </c>
      <c r="C112" t="s">
        <v>304</v>
      </c>
      <c r="D112" t="s">
        <v>305</v>
      </c>
    </row>
    <row r="113" spans="1:4">
      <c r="A113" t="s">
        <v>60</v>
      </c>
      <c r="B113" t="s">
        <v>306</v>
      </c>
      <c r="C113" t="s">
        <v>307</v>
      </c>
      <c r="D113" t="s">
        <v>308</v>
      </c>
    </row>
    <row r="114" spans="1:4">
      <c r="A114" t="s">
        <v>60</v>
      </c>
      <c r="B114" t="s">
        <v>309</v>
      </c>
      <c r="C114" t="s">
        <v>310</v>
      </c>
      <c r="D114" t="s">
        <v>311</v>
      </c>
    </row>
    <row r="115" spans="1:4">
      <c r="A115" t="s">
        <v>60</v>
      </c>
      <c r="B115" t="s">
        <v>312</v>
      </c>
      <c r="C115" t="s">
        <v>313</v>
      </c>
      <c r="D115" t="s">
        <v>314</v>
      </c>
    </row>
    <row r="116" spans="1:4">
      <c r="A116" t="s">
        <v>60</v>
      </c>
      <c r="B116" t="s">
        <v>315</v>
      </c>
      <c r="C116" t="s">
        <v>316</v>
      </c>
      <c r="D116" t="s">
        <v>317</v>
      </c>
    </row>
    <row r="117" spans="1:4">
      <c r="A117" t="s">
        <v>60</v>
      </c>
      <c r="B117" t="s">
        <v>318</v>
      </c>
      <c r="C117" t="s">
        <v>319</v>
      </c>
      <c r="D117" t="s">
        <v>320</v>
      </c>
    </row>
    <row r="118" spans="1:4">
      <c r="A118" t="s">
        <v>60</v>
      </c>
      <c r="B118" t="s">
        <v>321</v>
      </c>
      <c r="C118" t="s">
        <v>322</v>
      </c>
      <c r="D118" t="s">
        <v>323</v>
      </c>
    </row>
    <row r="119" spans="1:4">
      <c r="A119" t="s">
        <v>60</v>
      </c>
      <c r="B119" t="s">
        <v>324</v>
      </c>
      <c r="C119" t="s">
        <v>322</v>
      </c>
      <c r="D119" t="s">
        <v>325</v>
      </c>
    </row>
    <row r="120" spans="1:4">
      <c r="A120" t="s">
        <v>60</v>
      </c>
      <c r="B120" t="s">
        <v>326</v>
      </c>
      <c r="C120" t="s">
        <v>117</v>
      </c>
      <c r="D120" t="s">
        <v>327</v>
      </c>
    </row>
    <row r="121" spans="1:4">
      <c r="A121" t="s">
        <v>60</v>
      </c>
      <c r="B121" t="s">
        <v>328</v>
      </c>
      <c r="C121" t="s">
        <v>329</v>
      </c>
      <c r="D121" t="s">
        <v>330</v>
      </c>
    </row>
    <row r="122" spans="1:4">
      <c r="A122" t="s">
        <v>60</v>
      </c>
      <c r="B122" t="s">
        <v>331</v>
      </c>
      <c r="C122" t="s">
        <v>332</v>
      </c>
      <c r="D122" t="s">
        <v>333</v>
      </c>
    </row>
    <row r="123" spans="1:4">
      <c r="A123" t="s">
        <v>60</v>
      </c>
      <c r="B123" t="s">
        <v>334</v>
      </c>
      <c r="C123" t="s">
        <v>202</v>
      </c>
      <c r="D123" t="s">
        <v>335</v>
      </c>
    </row>
    <row r="124" spans="1:4">
      <c r="A124" t="s">
        <v>60</v>
      </c>
      <c r="B124" t="s">
        <v>336</v>
      </c>
      <c r="C124" t="s">
        <v>337</v>
      </c>
      <c r="D124" t="s">
        <v>338</v>
      </c>
    </row>
    <row r="125" spans="1:4">
      <c r="A125" t="s">
        <v>60</v>
      </c>
      <c r="B125" t="s">
        <v>339</v>
      </c>
      <c r="C125" t="s">
        <v>340</v>
      </c>
      <c r="D125" t="s">
        <v>341</v>
      </c>
    </row>
    <row r="126" spans="1:4">
      <c r="A126" t="s">
        <v>60</v>
      </c>
      <c r="B126" t="s">
        <v>342</v>
      </c>
      <c r="C126" t="s">
        <v>343</v>
      </c>
      <c r="D126" t="s">
        <v>344</v>
      </c>
    </row>
    <row r="127" spans="1:4">
      <c r="A127" t="s">
        <v>60</v>
      </c>
      <c r="B127" t="s">
        <v>345</v>
      </c>
      <c r="C127" t="s">
        <v>337</v>
      </c>
      <c r="D127" t="s">
        <v>346</v>
      </c>
    </row>
    <row r="128" spans="1:4">
      <c r="A128" t="s">
        <v>60</v>
      </c>
      <c r="B128" t="s">
        <v>347</v>
      </c>
      <c r="C128" t="s">
        <v>340</v>
      </c>
      <c r="D128" t="s">
        <v>348</v>
      </c>
    </row>
    <row r="129" spans="1:4">
      <c r="A129" t="s">
        <v>60</v>
      </c>
      <c r="B129" t="s">
        <v>349</v>
      </c>
      <c r="C129" t="s">
        <v>343</v>
      </c>
      <c r="D129" t="s">
        <v>350</v>
      </c>
    </row>
    <row r="130" spans="1:4">
      <c r="A130" t="s">
        <v>60</v>
      </c>
      <c r="B130" t="s">
        <v>351</v>
      </c>
      <c r="C130" t="s">
        <v>352</v>
      </c>
      <c r="D130" t="s">
        <v>353</v>
      </c>
    </row>
    <row r="131" spans="1:4">
      <c r="A131" t="s">
        <v>60</v>
      </c>
      <c r="B131" t="s">
        <v>354</v>
      </c>
      <c r="C131" t="s">
        <v>163</v>
      </c>
      <c r="D131" t="s">
        <v>355</v>
      </c>
    </row>
    <row r="132" spans="1:4">
      <c r="A132" t="s">
        <v>60</v>
      </c>
      <c r="B132" t="s">
        <v>356</v>
      </c>
      <c r="D132" t="s">
        <v>357</v>
      </c>
    </row>
    <row r="133" spans="1:4">
      <c r="A133" t="s">
        <v>60</v>
      </c>
      <c r="B133" t="s">
        <v>358</v>
      </c>
      <c r="C133" t="s">
        <v>117</v>
      </c>
      <c r="D133" t="s">
        <v>359</v>
      </c>
    </row>
    <row r="134" spans="1:4">
      <c r="A134" t="s">
        <v>60</v>
      </c>
      <c r="B134" t="s">
        <v>360</v>
      </c>
      <c r="C134" t="s">
        <v>361</v>
      </c>
      <c r="D134" t="s">
        <v>362</v>
      </c>
    </row>
    <row r="135" spans="1:4">
      <c r="A135" t="s">
        <v>60</v>
      </c>
      <c r="B135" t="s">
        <v>363</v>
      </c>
      <c r="C135" t="s">
        <v>364</v>
      </c>
      <c r="D135" t="s">
        <v>365</v>
      </c>
    </row>
    <row r="136" spans="1:4">
      <c r="A136" t="s">
        <v>60</v>
      </c>
      <c r="B136" t="s">
        <v>366</v>
      </c>
      <c r="C136" t="s">
        <v>367</v>
      </c>
      <c r="D136" t="s">
        <v>368</v>
      </c>
    </row>
    <row r="137" spans="1:4">
      <c r="A137" t="s">
        <v>60</v>
      </c>
      <c r="B137" t="s">
        <v>369</v>
      </c>
      <c r="C137" t="s">
        <v>370</v>
      </c>
      <c r="D137" t="s">
        <v>371</v>
      </c>
    </row>
    <row r="138" spans="1:4">
      <c r="A138" t="s">
        <v>60</v>
      </c>
      <c r="B138" t="s">
        <v>372</v>
      </c>
      <c r="C138" t="s">
        <v>373</v>
      </c>
      <c r="D138" t="s">
        <v>374</v>
      </c>
    </row>
    <row r="139" spans="1:4">
      <c r="A139" t="s">
        <v>60</v>
      </c>
      <c r="B139" t="s">
        <v>375</v>
      </c>
      <c r="C139" t="s">
        <v>376</v>
      </c>
      <c r="D139" t="s">
        <v>377</v>
      </c>
    </row>
    <row r="140" spans="1:4">
      <c r="A140" t="s">
        <v>60</v>
      </c>
      <c r="B140" t="s">
        <v>378</v>
      </c>
      <c r="C140" t="s">
        <v>379</v>
      </c>
      <c r="D140" t="s">
        <v>380</v>
      </c>
    </row>
    <row r="141" spans="1:4">
      <c r="A141" t="s">
        <v>60</v>
      </c>
      <c r="B141" t="s">
        <v>381</v>
      </c>
      <c r="C141" t="s">
        <v>382</v>
      </c>
      <c r="D141" t="s">
        <v>383</v>
      </c>
    </row>
    <row r="142" spans="1:4">
      <c r="A142" t="s">
        <v>60</v>
      </c>
      <c r="B142" t="s">
        <v>384</v>
      </c>
      <c r="C142" t="s">
        <v>385</v>
      </c>
      <c r="D142" t="s">
        <v>386</v>
      </c>
    </row>
    <row r="143" spans="1:4">
      <c r="A143" t="s">
        <v>387</v>
      </c>
      <c r="B143" t="s">
        <v>388</v>
      </c>
      <c r="D143" t="s">
        <v>389</v>
      </c>
    </row>
    <row r="144" spans="1:4">
      <c r="A144" t="s">
        <v>387</v>
      </c>
      <c r="B144" t="s">
        <v>390</v>
      </c>
      <c r="D144" t="s">
        <v>391</v>
      </c>
    </row>
    <row r="145" spans="1:4">
      <c r="A145" t="s">
        <v>387</v>
      </c>
      <c r="B145" t="s">
        <v>392</v>
      </c>
      <c r="D145" t="s">
        <v>393</v>
      </c>
    </row>
    <row r="146" spans="1:4">
      <c r="A146" t="s">
        <v>387</v>
      </c>
      <c r="B146" t="s">
        <v>394</v>
      </c>
      <c r="D146" t="s">
        <v>395</v>
      </c>
    </row>
    <row r="147" spans="1:4">
      <c r="A147" t="s">
        <v>387</v>
      </c>
      <c r="B147" t="s">
        <v>396</v>
      </c>
      <c r="D147" t="s">
        <v>397</v>
      </c>
    </row>
    <row r="148" spans="1:4">
      <c r="A148" t="s">
        <v>387</v>
      </c>
      <c r="B148" t="s">
        <v>398</v>
      </c>
      <c r="D148" t="s">
        <v>399</v>
      </c>
    </row>
    <row r="149" spans="1:4">
      <c r="A149" t="s">
        <v>387</v>
      </c>
      <c r="B149" t="s">
        <v>400</v>
      </c>
      <c r="D149" t="s">
        <v>401</v>
      </c>
    </row>
    <row r="150" spans="1:4">
      <c r="A150" t="s">
        <v>387</v>
      </c>
      <c r="B150" t="s">
        <v>402</v>
      </c>
      <c r="D150" t="s">
        <v>403</v>
      </c>
    </row>
    <row r="151" spans="1:4">
      <c r="A151" t="s">
        <v>404</v>
      </c>
      <c r="B151" t="s">
        <v>405</v>
      </c>
      <c r="C151" t="s">
        <v>406</v>
      </c>
      <c r="D151" t="s">
        <v>407</v>
      </c>
    </row>
    <row r="152" spans="1:4">
      <c r="A152" t="s">
        <v>404</v>
      </c>
      <c r="B152" t="s">
        <v>405</v>
      </c>
      <c r="C152" t="s">
        <v>408</v>
      </c>
      <c r="D152" t="s">
        <v>409</v>
      </c>
    </row>
    <row r="153" spans="1:4">
      <c r="A153" t="s">
        <v>404</v>
      </c>
      <c r="B153" t="s">
        <v>405</v>
      </c>
      <c r="C153" t="s">
        <v>410</v>
      </c>
      <c r="D153" t="s">
        <v>411</v>
      </c>
    </row>
    <row r="154" spans="1:4">
      <c r="A154" t="s">
        <v>404</v>
      </c>
      <c r="B154" t="s">
        <v>405</v>
      </c>
      <c r="C154" t="s">
        <v>412</v>
      </c>
      <c r="D154" t="s">
        <v>413</v>
      </c>
    </row>
    <row r="155" spans="1:4">
      <c r="A155" t="s">
        <v>404</v>
      </c>
      <c r="B155" t="s">
        <v>414</v>
      </c>
      <c r="C155" t="s">
        <v>415</v>
      </c>
      <c r="D155" t="s">
        <v>416</v>
      </c>
    </row>
    <row r="156" spans="1:4">
      <c r="A156" t="s">
        <v>404</v>
      </c>
      <c r="B156" t="s">
        <v>417</v>
      </c>
      <c r="C156" t="s">
        <v>406</v>
      </c>
      <c r="D156" t="s">
        <v>418</v>
      </c>
    </row>
    <row r="157" spans="1:4">
      <c r="A157" t="s">
        <v>404</v>
      </c>
      <c r="B157" t="s">
        <v>417</v>
      </c>
      <c r="C157" t="s">
        <v>408</v>
      </c>
      <c r="D157" t="s">
        <v>419</v>
      </c>
    </row>
    <row r="158" spans="1:4">
      <c r="A158" t="s">
        <v>404</v>
      </c>
      <c r="B158" t="s">
        <v>417</v>
      </c>
      <c r="C158" t="s">
        <v>410</v>
      </c>
      <c r="D158" t="s">
        <v>420</v>
      </c>
    </row>
    <row r="159" spans="1:4">
      <c r="A159" t="s">
        <v>404</v>
      </c>
      <c r="B159" t="s">
        <v>417</v>
      </c>
      <c r="C159" t="s">
        <v>412</v>
      </c>
      <c r="D159" t="s">
        <v>421</v>
      </c>
    </row>
    <row r="160" spans="1:4">
      <c r="A160" t="s">
        <v>404</v>
      </c>
      <c r="B160" t="s">
        <v>422</v>
      </c>
      <c r="C160" t="s">
        <v>423</v>
      </c>
      <c r="D160" t="s">
        <v>424</v>
      </c>
    </row>
    <row r="161" spans="1:4">
      <c r="A161" t="s">
        <v>404</v>
      </c>
      <c r="B161" t="s">
        <v>425</v>
      </c>
      <c r="C161" t="s">
        <v>426</v>
      </c>
      <c r="D161" t="s">
        <v>427</v>
      </c>
    </row>
    <row r="162" spans="1:4">
      <c r="A162" t="s">
        <v>404</v>
      </c>
      <c r="B162" t="s">
        <v>428</v>
      </c>
      <c r="C162" t="s">
        <v>429</v>
      </c>
      <c r="D162" t="s">
        <v>430</v>
      </c>
    </row>
    <row r="163" spans="1:4">
      <c r="A163" t="s">
        <v>404</v>
      </c>
      <c r="B163" t="s">
        <v>431</v>
      </c>
      <c r="C163" t="s">
        <v>432</v>
      </c>
      <c r="D163" t="s">
        <v>433</v>
      </c>
    </row>
    <row r="164" spans="1:4">
      <c r="A164" t="s">
        <v>404</v>
      </c>
      <c r="B164" t="s">
        <v>434</v>
      </c>
      <c r="C164" t="s">
        <v>423</v>
      </c>
      <c r="D164" t="s">
        <v>435</v>
      </c>
    </row>
    <row r="165" spans="1:4">
      <c r="A165" t="s">
        <v>404</v>
      </c>
      <c r="B165" t="s">
        <v>436</v>
      </c>
      <c r="C165" t="s">
        <v>426</v>
      </c>
      <c r="D165" t="s">
        <v>437</v>
      </c>
    </row>
    <row r="166" spans="1:4">
      <c r="A166" t="s">
        <v>404</v>
      </c>
      <c r="B166" t="s">
        <v>438</v>
      </c>
      <c r="C166" t="s">
        <v>429</v>
      </c>
      <c r="D166" t="s">
        <v>439</v>
      </c>
    </row>
    <row r="167" spans="1:4">
      <c r="A167" t="s">
        <v>404</v>
      </c>
      <c r="B167" t="s">
        <v>440</v>
      </c>
      <c r="C167" t="s">
        <v>432</v>
      </c>
      <c r="D167" t="s">
        <v>441</v>
      </c>
    </row>
    <row r="168" spans="1:4">
      <c r="A168" t="s">
        <v>404</v>
      </c>
      <c r="B168" t="s">
        <v>442</v>
      </c>
      <c r="C168" t="s">
        <v>406</v>
      </c>
      <c r="D168" t="s">
        <v>443</v>
      </c>
    </row>
    <row r="169" spans="1:4">
      <c r="A169" t="s">
        <v>404</v>
      </c>
      <c r="B169" t="s">
        <v>442</v>
      </c>
      <c r="C169" t="s">
        <v>408</v>
      </c>
      <c r="D169" t="s">
        <v>444</v>
      </c>
    </row>
    <row r="170" spans="1:4">
      <c r="A170" t="s">
        <v>404</v>
      </c>
      <c r="B170" t="s">
        <v>442</v>
      </c>
      <c r="C170" t="s">
        <v>412</v>
      </c>
      <c r="D170" t="s">
        <v>445</v>
      </c>
    </row>
    <row r="171" spans="1:4">
      <c r="A171" t="s">
        <v>404</v>
      </c>
      <c r="B171" t="s">
        <v>442</v>
      </c>
      <c r="C171" t="s">
        <v>446</v>
      </c>
      <c r="D171" t="s">
        <v>447</v>
      </c>
    </row>
    <row r="172" spans="1:4">
      <c r="A172" t="s">
        <v>404</v>
      </c>
      <c r="B172" t="s">
        <v>448</v>
      </c>
      <c r="C172" t="s">
        <v>415</v>
      </c>
      <c r="D172" t="s">
        <v>449</v>
      </c>
    </row>
    <row r="173" spans="1:4">
      <c r="A173" t="s">
        <v>404</v>
      </c>
      <c r="B173" t="s">
        <v>450</v>
      </c>
      <c r="C173" t="s">
        <v>451</v>
      </c>
      <c r="D173" t="s">
        <v>452</v>
      </c>
    </row>
    <row r="174" spans="1:4">
      <c r="A174" t="s">
        <v>404</v>
      </c>
      <c r="B174" t="s">
        <v>453</v>
      </c>
      <c r="C174" t="s">
        <v>454</v>
      </c>
      <c r="D174" t="s">
        <v>455</v>
      </c>
    </row>
    <row r="175" spans="1:4">
      <c r="A175" t="s">
        <v>404</v>
      </c>
      <c r="B175" t="s">
        <v>456</v>
      </c>
      <c r="C175" t="s">
        <v>457</v>
      </c>
      <c r="D175" t="s">
        <v>458</v>
      </c>
    </row>
    <row r="176" spans="1:4">
      <c r="A176" t="s">
        <v>404</v>
      </c>
      <c r="B176" t="s">
        <v>459</v>
      </c>
      <c r="C176" t="s">
        <v>460</v>
      </c>
      <c r="D176" t="s">
        <v>461</v>
      </c>
    </row>
    <row r="177" spans="1:4">
      <c r="A177" t="s">
        <v>404</v>
      </c>
      <c r="B177" t="s">
        <v>462</v>
      </c>
      <c r="C177" t="s">
        <v>463</v>
      </c>
      <c r="D177" t="s">
        <v>464</v>
      </c>
    </row>
    <row r="178" spans="1:4">
      <c r="A178" t="s">
        <v>404</v>
      </c>
      <c r="B178" t="s">
        <v>465</v>
      </c>
      <c r="C178" t="s">
        <v>463</v>
      </c>
      <c r="D178" t="s">
        <v>466</v>
      </c>
    </row>
    <row r="179" spans="1:4">
      <c r="A179" t="s">
        <v>404</v>
      </c>
      <c r="B179" t="s">
        <v>467</v>
      </c>
      <c r="C179" t="s">
        <v>463</v>
      </c>
      <c r="D179" t="s">
        <v>468</v>
      </c>
    </row>
    <row r="180" spans="1:4">
      <c r="A180" t="s">
        <v>404</v>
      </c>
      <c r="B180" t="s">
        <v>469</v>
      </c>
      <c r="C180" t="s">
        <v>463</v>
      </c>
      <c r="D180" t="s">
        <v>470</v>
      </c>
    </row>
    <row r="181" spans="1:4">
      <c r="A181" t="s">
        <v>404</v>
      </c>
      <c r="B181" t="s">
        <v>471</v>
      </c>
      <c r="C181" t="s">
        <v>463</v>
      </c>
      <c r="D181" t="s">
        <v>472</v>
      </c>
    </row>
    <row r="182" spans="1:4">
      <c r="A182" t="s">
        <v>404</v>
      </c>
      <c r="B182" t="s">
        <v>473</v>
      </c>
      <c r="C182" t="s">
        <v>463</v>
      </c>
      <c r="D182" t="s">
        <v>474</v>
      </c>
    </row>
    <row r="183" spans="1:4">
      <c r="A183" t="s">
        <v>404</v>
      </c>
      <c r="B183" t="s">
        <v>475</v>
      </c>
      <c r="C183" t="s">
        <v>476</v>
      </c>
      <c r="D183" t="s">
        <v>477</v>
      </c>
    </row>
    <row r="184" spans="1:4">
      <c r="A184" t="s">
        <v>404</v>
      </c>
      <c r="B184" t="s">
        <v>478</v>
      </c>
      <c r="C184" t="s">
        <v>479</v>
      </c>
      <c r="D184" t="s">
        <v>480</v>
      </c>
    </row>
    <row r="185" spans="1:4">
      <c r="A185" t="s">
        <v>404</v>
      </c>
      <c r="B185" t="s">
        <v>481</v>
      </c>
      <c r="C185" t="s">
        <v>479</v>
      </c>
      <c r="D185" t="s">
        <v>482</v>
      </c>
    </row>
    <row r="186" spans="1:4">
      <c r="A186" t="s">
        <v>404</v>
      </c>
      <c r="B186" t="s">
        <v>483</v>
      </c>
      <c r="C186" t="s">
        <v>479</v>
      </c>
      <c r="D186" t="s">
        <v>484</v>
      </c>
    </row>
    <row r="187" spans="1:4">
      <c r="A187" t="s">
        <v>404</v>
      </c>
      <c r="B187" t="s">
        <v>485</v>
      </c>
      <c r="C187" t="s">
        <v>479</v>
      </c>
      <c r="D187" t="s">
        <v>486</v>
      </c>
    </row>
    <row r="188" spans="1:4">
      <c r="A188" t="s">
        <v>404</v>
      </c>
      <c r="B188" t="s">
        <v>487</v>
      </c>
      <c r="C188" t="s">
        <v>479</v>
      </c>
      <c r="D188" t="s">
        <v>488</v>
      </c>
    </row>
    <row r="189" spans="1:4">
      <c r="A189" t="s">
        <v>404</v>
      </c>
      <c r="B189" t="s">
        <v>489</v>
      </c>
      <c r="C189" t="s">
        <v>479</v>
      </c>
      <c r="D189" t="s">
        <v>490</v>
      </c>
    </row>
    <row r="190" spans="1:4">
      <c r="A190" t="s">
        <v>404</v>
      </c>
      <c r="B190" t="s">
        <v>491</v>
      </c>
      <c r="C190" t="s">
        <v>492</v>
      </c>
      <c r="D190" t="s">
        <v>493</v>
      </c>
    </row>
    <row r="191" spans="1:4">
      <c r="A191" t="s">
        <v>404</v>
      </c>
      <c r="B191" t="s">
        <v>494</v>
      </c>
      <c r="C191" t="s">
        <v>423</v>
      </c>
      <c r="D191" t="s">
        <v>495</v>
      </c>
    </row>
    <row r="192" spans="1:4">
      <c r="A192" t="s">
        <v>404</v>
      </c>
      <c r="B192" t="s">
        <v>496</v>
      </c>
      <c r="C192" t="s">
        <v>426</v>
      </c>
      <c r="D192" t="s">
        <v>497</v>
      </c>
    </row>
    <row r="193" spans="1:4">
      <c r="A193" t="s">
        <v>404</v>
      </c>
      <c r="B193" t="s">
        <v>498</v>
      </c>
      <c r="C193" t="s">
        <v>429</v>
      </c>
      <c r="D193" t="s">
        <v>499</v>
      </c>
    </row>
    <row r="194" spans="1:4">
      <c r="A194" t="s">
        <v>404</v>
      </c>
      <c r="B194" t="s">
        <v>500</v>
      </c>
      <c r="C194" t="s">
        <v>501</v>
      </c>
      <c r="D194" t="s">
        <v>502</v>
      </c>
    </row>
    <row r="195" spans="1:4">
      <c r="A195" t="s">
        <v>404</v>
      </c>
      <c r="B195" t="s">
        <v>503</v>
      </c>
      <c r="C195" t="s">
        <v>504</v>
      </c>
      <c r="D195" t="s">
        <v>505</v>
      </c>
    </row>
    <row r="196" spans="1:4">
      <c r="A196" t="s">
        <v>506</v>
      </c>
      <c r="B196" t="s">
        <v>507</v>
      </c>
      <c r="C196" t="s">
        <v>508</v>
      </c>
      <c r="D196" t="s">
        <v>509</v>
      </c>
    </row>
    <row r="197" spans="1:4">
      <c r="A197" t="s">
        <v>506</v>
      </c>
      <c r="B197" t="s">
        <v>510</v>
      </c>
      <c r="C197" t="s">
        <v>511</v>
      </c>
      <c r="D197" t="s">
        <v>512</v>
      </c>
    </row>
    <row r="198" spans="1:4">
      <c r="A198" t="s">
        <v>506</v>
      </c>
      <c r="B198" t="s">
        <v>513</v>
      </c>
      <c r="C198" t="s">
        <v>511</v>
      </c>
      <c r="D198" t="s">
        <v>514</v>
      </c>
    </row>
    <row r="199" spans="1:4">
      <c r="A199" t="s">
        <v>506</v>
      </c>
      <c r="B199" t="s">
        <v>515</v>
      </c>
      <c r="C199" t="s">
        <v>511</v>
      </c>
      <c r="D199" t="s">
        <v>516</v>
      </c>
    </row>
    <row r="200" spans="1:4">
      <c r="A200" t="s">
        <v>506</v>
      </c>
      <c r="B200" t="s">
        <v>517</v>
      </c>
      <c r="C200" t="s">
        <v>511</v>
      </c>
      <c r="D200" t="s">
        <v>518</v>
      </c>
    </row>
    <row r="201" spans="1:4">
      <c r="A201" t="s">
        <v>506</v>
      </c>
      <c r="B201" t="s">
        <v>519</v>
      </c>
      <c r="C201" t="s">
        <v>511</v>
      </c>
      <c r="D201" t="s">
        <v>520</v>
      </c>
    </row>
    <row r="202" spans="1:4">
      <c r="A202" t="s">
        <v>506</v>
      </c>
      <c r="B202" t="s">
        <v>521</v>
      </c>
      <c r="C202" t="s">
        <v>511</v>
      </c>
      <c r="D202" t="s">
        <v>522</v>
      </c>
    </row>
    <row r="203" spans="1:4">
      <c r="A203" t="s">
        <v>506</v>
      </c>
      <c r="B203" t="s">
        <v>523</v>
      </c>
      <c r="C203" t="s">
        <v>511</v>
      </c>
      <c r="D203" t="s">
        <v>524</v>
      </c>
    </row>
    <row r="204" spans="1:4">
      <c r="A204" t="s">
        <v>506</v>
      </c>
      <c r="B204" t="s">
        <v>525</v>
      </c>
      <c r="C204" t="s">
        <v>511</v>
      </c>
      <c r="D204" t="s">
        <v>526</v>
      </c>
    </row>
    <row r="205" spans="1:4">
      <c r="A205" t="s">
        <v>506</v>
      </c>
      <c r="B205" t="s">
        <v>527</v>
      </c>
      <c r="C205" t="s">
        <v>511</v>
      </c>
      <c r="D205" t="s">
        <v>528</v>
      </c>
    </row>
    <row r="206" spans="1:4">
      <c r="A206" t="s">
        <v>506</v>
      </c>
      <c r="B206" t="s">
        <v>529</v>
      </c>
      <c r="C206" t="s">
        <v>508</v>
      </c>
      <c r="D206" t="s">
        <v>530</v>
      </c>
    </row>
    <row r="207" spans="1:4">
      <c r="A207" t="s">
        <v>506</v>
      </c>
      <c r="B207" t="s">
        <v>531</v>
      </c>
      <c r="C207" t="s">
        <v>508</v>
      </c>
      <c r="D207" t="s">
        <v>532</v>
      </c>
    </row>
    <row r="208" spans="1:4">
      <c r="A208" t="s">
        <v>506</v>
      </c>
      <c r="B208" t="s">
        <v>533</v>
      </c>
      <c r="C208" t="s">
        <v>508</v>
      </c>
      <c r="D208" t="s">
        <v>534</v>
      </c>
    </row>
    <row r="209" spans="1:4">
      <c r="A209" t="s">
        <v>506</v>
      </c>
      <c r="B209" t="s">
        <v>535</v>
      </c>
      <c r="C209" t="s">
        <v>508</v>
      </c>
      <c r="D209" t="s">
        <v>536</v>
      </c>
    </row>
    <row r="210" spans="1:4">
      <c r="A210" t="s">
        <v>506</v>
      </c>
      <c r="B210" t="s">
        <v>537</v>
      </c>
      <c r="C210" t="s">
        <v>508</v>
      </c>
      <c r="D210" t="s">
        <v>538</v>
      </c>
    </row>
    <row r="211" spans="1:4">
      <c r="A211" t="s">
        <v>506</v>
      </c>
      <c r="B211" t="s">
        <v>539</v>
      </c>
      <c r="C211" t="s">
        <v>508</v>
      </c>
      <c r="D211" t="s">
        <v>540</v>
      </c>
    </row>
    <row r="212" spans="1:4">
      <c r="A212" t="s">
        <v>506</v>
      </c>
      <c r="B212" t="s">
        <v>541</v>
      </c>
      <c r="C212" t="s">
        <v>508</v>
      </c>
      <c r="D212" t="s">
        <v>542</v>
      </c>
    </row>
    <row r="213" spans="1:4">
      <c r="A213" t="s">
        <v>506</v>
      </c>
      <c r="B213" t="s">
        <v>543</v>
      </c>
      <c r="C213" t="s">
        <v>544</v>
      </c>
      <c r="D213" t="s">
        <v>545</v>
      </c>
    </row>
    <row r="214" spans="1:4">
      <c r="A214" t="s">
        <v>506</v>
      </c>
      <c r="B214" t="s">
        <v>546</v>
      </c>
      <c r="C214" t="s">
        <v>544</v>
      </c>
      <c r="D214" t="s">
        <v>547</v>
      </c>
    </row>
    <row r="215" spans="1:4">
      <c r="A215" t="s">
        <v>506</v>
      </c>
      <c r="B215" t="s">
        <v>548</v>
      </c>
      <c r="C215" t="s">
        <v>544</v>
      </c>
      <c r="D215" t="s">
        <v>549</v>
      </c>
    </row>
    <row r="216" spans="1:4">
      <c r="A216" t="s">
        <v>506</v>
      </c>
      <c r="B216" t="s">
        <v>550</v>
      </c>
      <c r="C216" t="s">
        <v>544</v>
      </c>
      <c r="D216" t="s">
        <v>551</v>
      </c>
    </row>
    <row r="217" spans="1:4">
      <c r="A217" t="s">
        <v>506</v>
      </c>
      <c r="B217" t="s">
        <v>552</v>
      </c>
      <c r="C217" t="s">
        <v>544</v>
      </c>
      <c r="D217" t="s">
        <v>553</v>
      </c>
    </row>
    <row r="218" spans="1:4">
      <c r="A218" t="s">
        <v>506</v>
      </c>
      <c r="B218" t="s">
        <v>554</v>
      </c>
      <c r="C218" t="s">
        <v>544</v>
      </c>
      <c r="D218" t="s">
        <v>555</v>
      </c>
    </row>
    <row r="219" spans="1:4">
      <c r="A219" t="s">
        <v>506</v>
      </c>
      <c r="B219" t="s">
        <v>556</v>
      </c>
      <c r="C219" t="s">
        <v>544</v>
      </c>
      <c r="D219" t="s">
        <v>557</v>
      </c>
    </row>
    <row r="220" spans="1:4">
      <c r="A220" t="s">
        <v>506</v>
      </c>
      <c r="B220" t="s">
        <v>558</v>
      </c>
      <c r="C220" t="s">
        <v>511</v>
      </c>
      <c r="D220" t="s">
        <v>559</v>
      </c>
    </row>
    <row r="221" spans="1:4">
      <c r="A221" t="s">
        <v>506</v>
      </c>
      <c r="B221" t="s">
        <v>560</v>
      </c>
      <c r="C221" t="s">
        <v>561</v>
      </c>
      <c r="D221" t="s">
        <v>562</v>
      </c>
    </row>
    <row r="222" spans="1:4">
      <c r="A222" t="s">
        <v>506</v>
      </c>
      <c r="B222" t="s">
        <v>563</v>
      </c>
      <c r="C222" t="s">
        <v>429</v>
      </c>
      <c r="D222" t="s">
        <v>564</v>
      </c>
    </row>
    <row r="223" spans="1:4">
      <c r="A223" t="s">
        <v>506</v>
      </c>
      <c r="B223" t="s">
        <v>565</v>
      </c>
      <c r="C223" t="s">
        <v>566</v>
      </c>
      <c r="D223" t="s">
        <v>567</v>
      </c>
    </row>
    <row r="224" spans="1:4">
      <c r="A224" t="s">
        <v>506</v>
      </c>
      <c r="B224" t="s">
        <v>565</v>
      </c>
      <c r="C224" t="s">
        <v>568</v>
      </c>
      <c r="D224" t="s">
        <v>569</v>
      </c>
    </row>
    <row r="225" spans="1:4">
      <c r="A225" t="s">
        <v>506</v>
      </c>
      <c r="B225" t="s">
        <v>565</v>
      </c>
      <c r="C225" t="s">
        <v>570</v>
      </c>
      <c r="D225" t="s">
        <v>571</v>
      </c>
    </row>
    <row r="226" spans="1:4">
      <c r="A226" t="s">
        <v>506</v>
      </c>
      <c r="B226" t="s">
        <v>565</v>
      </c>
      <c r="C226" t="s">
        <v>572</v>
      </c>
      <c r="D226" t="s">
        <v>573</v>
      </c>
    </row>
    <row r="227" spans="1:4">
      <c r="A227" t="s">
        <v>506</v>
      </c>
      <c r="B227" t="s">
        <v>574</v>
      </c>
      <c r="C227" t="s">
        <v>575</v>
      </c>
      <c r="D227" t="s">
        <v>576</v>
      </c>
    </row>
    <row r="228" spans="1:4">
      <c r="A228" t="s">
        <v>506</v>
      </c>
      <c r="B228" t="s">
        <v>577</v>
      </c>
      <c r="C228" t="s">
        <v>578</v>
      </c>
      <c r="D228" t="s">
        <v>579</v>
      </c>
    </row>
    <row r="229" spans="1:4">
      <c r="A229" t="s">
        <v>506</v>
      </c>
      <c r="B229" t="s">
        <v>580</v>
      </c>
      <c r="C229" t="s">
        <v>581</v>
      </c>
      <c r="D229" t="s">
        <v>582</v>
      </c>
    </row>
    <row r="230" spans="1:4">
      <c r="A230" t="s">
        <v>506</v>
      </c>
      <c r="B230" t="s">
        <v>583</v>
      </c>
      <c r="C230" t="s">
        <v>584</v>
      </c>
      <c r="D230" t="s">
        <v>585</v>
      </c>
    </row>
    <row r="231" spans="1:4">
      <c r="A231" t="s">
        <v>506</v>
      </c>
      <c r="B231" t="s">
        <v>586</v>
      </c>
      <c r="C231" t="s">
        <v>587</v>
      </c>
      <c r="D231" t="s">
        <v>588</v>
      </c>
    </row>
    <row r="232" spans="1:4">
      <c r="A232" t="s">
        <v>506</v>
      </c>
      <c r="B232" t="s">
        <v>589</v>
      </c>
      <c r="C232" t="s">
        <v>590</v>
      </c>
      <c r="D232" t="s">
        <v>591</v>
      </c>
    </row>
    <row r="233" spans="1:4">
      <c r="A233" t="s">
        <v>506</v>
      </c>
      <c r="B233" t="s">
        <v>592</v>
      </c>
      <c r="D233" t="s">
        <v>593</v>
      </c>
    </row>
    <row r="234" spans="1:4">
      <c r="A234" t="s">
        <v>506</v>
      </c>
      <c r="B234" t="s">
        <v>594</v>
      </c>
      <c r="C234" t="s">
        <v>595</v>
      </c>
      <c r="D234" t="s">
        <v>596</v>
      </c>
    </row>
    <row r="235" spans="1:4">
      <c r="A235" t="s">
        <v>506</v>
      </c>
      <c r="B235" t="s">
        <v>597</v>
      </c>
      <c r="C235" t="s">
        <v>598</v>
      </c>
      <c r="D235" t="s">
        <v>599</v>
      </c>
    </row>
    <row r="236" spans="1:4">
      <c r="A236" t="s">
        <v>506</v>
      </c>
      <c r="B236" t="s">
        <v>600</v>
      </c>
      <c r="C236" t="s">
        <v>601</v>
      </c>
      <c r="D236" t="s">
        <v>602</v>
      </c>
    </row>
    <row r="237" spans="1:4">
      <c r="A237" t="s">
        <v>506</v>
      </c>
      <c r="B237" t="s">
        <v>603</v>
      </c>
      <c r="C237" t="s">
        <v>511</v>
      </c>
      <c r="D237" t="s">
        <v>604</v>
      </c>
    </row>
    <row r="238" spans="1:4">
      <c r="A238" t="s">
        <v>506</v>
      </c>
      <c r="B238" t="s">
        <v>605</v>
      </c>
      <c r="C238" t="s">
        <v>511</v>
      </c>
      <c r="D238" t="s">
        <v>606</v>
      </c>
    </row>
    <row r="239" spans="1:4">
      <c r="A239" t="s">
        <v>506</v>
      </c>
      <c r="B239" t="s">
        <v>607</v>
      </c>
      <c r="C239" t="s">
        <v>511</v>
      </c>
      <c r="D239" t="s">
        <v>608</v>
      </c>
    </row>
    <row r="240" spans="1:4">
      <c r="A240" t="s">
        <v>506</v>
      </c>
      <c r="B240" t="s">
        <v>609</v>
      </c>
      <c r="C240" t="s">
        <v>511</v>
      </c>
      <c r="D240" t="s">
        <v>610</v>
      </c>
    </row>
    <row r="241" spans="1:4">
      <c r="A241" t="s">
        <v>506</v>
      </c>
      <c r="B241" t="s">
        <v>611</v>
      </c>
      <c r="C241" t="s">
        <v>511</v>
      </c>
      <c r="D241" t="s">
        <v>612</v>
      </c>
    </row>
    <row r="242" spans="1:4">
      <c r="A242" t="s">
        <v>506</v>
      </c>
      <c r="B242" t="s">
        <v>613</v>
      </c>
      <c r="C242" t="s">
        <v>511</v>
      </c>
      <c r="D242" t="s">
        <v>614</v>
      </c>
    </row>
    <row r="243" spans="1:4">
      <c r="A243" t="s">
        <v>506</v>
      </c>
      <c r="B243" t="s">
        <v>615</v>
      </c>
      <c r="C243" t="s">
        <v>511</v>
      </c>
      <c r="D243" t="s">
        <v>616</v>
      </c>
    </row>
    <row r="244" spans="1:4">
      <c r="A244" t="s">
        <v>506</v>
      </c>
      <c r="B244" t="s">
        <v>617</v>
      </c>
      <c r="C244" t="s">
        <v>618</v>
      </c>
      <c r="D244" t="s">
        <v>619</v>
      </c>
    </row>
    <row r="245" spans="1:4">
      <c r="A245" t="s">
        <v>506</v>
      </c>
      <c r="B245" t="s">
        <v>620</v>
      </c>
      <c r="C245" t="s">
        <v>618</v>
      </c>
      <c r="D245" t="s">
        <v>621</v>
      </c>
    </row>
    <row r="246" spans="1:4">
      <c r="A246" t="s">
        <v>506</v>
      </c>
      <c r="B246" t="s">
        <v>622</v>
      </c>
      <c r="C246" t="s">
        <v>618</v>
      </c>
      <c r="D246" t="s">
        <v>623</v>
      </c>
    </row>
    <row r="247" spans="1:4">
      <c r="A247" t="s">
        <v>506</v>
      </c>
      <c r="B247" t="s">
        <v>624</v>
      </c>
      <c r="C247" t="s">
        <v>618</v>
      </c>
      <c r="D247" t="s">
        <v>625</v>
      </c>
    </row>
    <row r="248" spans="1:4">
      <c r="A248" t="s">
        <v>506</v>
      </c>
      <c r="B248" t="s">
        <v>626</v>
      </c>
      <c r="C248" t="s">
        <v>618</v>
      </c>
      <c r="D248" t="s">
        <v>627</v>
      </c>
    </row>
    <row r="249" spans="1:4">
      <c r="A249" t="s">
        <v>506</v>
      </c>
      <c r="B249" t="s">
        <v>628</v>
      </c>
      <c r="C249" t="s">
        <v>618</v>
      </c>
      <c r="D249" t="s">
        <v>629</v>
      </c>
    </row>
    <row r="250" spans="1:4">
      <c r="A250" t="s">
        <v>506</v>
      </c>
      <c r="B250" t="s">
        <v>630</v>
      </c>
      <c r="C250" t="s">
        <v>618</v>
      </c>
      <c r="D250" t="s">
        <v>631</v>
      </c>
    </row>
    <row r="251" spans="1:4">
      <c r="A251" t="s">
        <v>632</v>
      </c>
      <c r="B251" t="s">
        <v>633</v>
      </c>
      <c r="C251" t="s">
        <v>634</v>
      </c>
      <c r="D251" t="s">
        <v>635</v>
      </c>
    </row>
    <row r="252" spans="1:4">
      <c r="A252" t="s">
        <v>632</v>
      </c>
      <c r="B252" t="s">
        <v>636</v>
      </c>
      <c r="C252" t="s">
        <v>637</v>
      </c>
      <c r="D252" t="s">
        <v>638</v>
      </c>
    </row>
    <row r="253" spans="1:4">
      <c r="A253" t="s">
        <v>639</v>
      </c>
      <c r="B253" t="s">
        <v>640</v>
      </c>
      <c r="C253" t="s">
        <v>641</v>
      </c>
      <c r="D253" t="s">
        <v>642</v>
      </c>
    </row>
    <row r="254" spans="1:4">
      <c r="A254" t="s">
        <v>639</v>
      </c>
      <c r="B254" t="s">
        <v>643</v>
      </c>
      <c r="C254" t="s">
        <v>644</v>
      </c>
      <c r="D254" t="s">
        <v>645</v>
      </c>
    </row>
    <row r="255" spans="1:4">
      <c r="A255" t="s">
        <v>639</v>
      </c>
      <c r="B255" t="s">
        <v>646</v>
      </c>
      <c r="C255" t="s">
        <v>647</v>
      </c>
      <c r="D255" t="s">
        <v>648</v>
      </c>
    </row>
    <row r="256" spans="1:4">
      <c r="A256" t="s">
        <v>639</v>
      </c>
      <c r="B256" t="s">
        <v>649</v>
      </c>
      <c r="C256" t="s">
        <v>650</v>
      </c>
      <c r="D256" t="s">
        <v>651</v>
      </c>
    </row>
    <row r="257" spans="1:4">
      <c r="A257" t="s">
        <v>639</v>
      </c>
      <c r="B257" t="s">
        <v>652</v>
      </c>
      <c r="C257" t="s">
        <v>644</v>
      </c>
      <c r="D257" t="s">
        <v>653</v>
      </c>
    </row>
    <row r="258" spans="1:4">
      <c r="A258" t="s">
        <v>639</v>
      </c>
      <c r="B258" t="s">
        <v>654</v>
      </c>
      <c r="C258" t="s">
        <v>655</v>
      </c>
      <c r="D258" t="s">
        <v>656</v>
      </c>
    </row>
    <row r="259" spans="1:4">
      <c r="A259" t="s">
        <v>639</v>
      </c>
      <c r="B259" t="s">
        <v>657</v>
      </c>
      <c r="C259" t="s">
        <v>658</v>
      </c>
      <c r="D259" t="s">
        <v>659</v>
      </c>
    </row>
    <row r="260" spans="1:4">
      <c r="A260" t="s">
        <v>639</v>
      </c>
      <c r="B260" t="s">
        <v>660</v>
      </c>
      <c r="C260" t="s">
        <v>658</v>
      </c>
      <c r="D260" t="s">
        <v>661</v>
      </c>
    </row>
    <row r="261" spans="1:4">
      <c r="A261" t="s">
        <v>639</v>
      </c>
      <c r="B261" t="s">
        <v>662</v>
      </c>
      <c r="C261" t="s">
        <v>663</v>
      </c>
      <c r="D261" t="s">
        <v>664</v>
      </c>
    </row>
    <row r="262" spans="1:4">
      <c r="A262" t="s">
        <v>639</v>
      </c>
      <c r="B262" t="s">
        <v>665</v>
      </c>
      <c r="C262" t="s">
        <v>666</v>
      </c>
      <c r="D262" t="s">
        <v>667</v>
      </c>
    </row>
    <row r="263" spans="1:4">
      <c r="A263" t="s">
        <v>639</v>
      </c>
      <c r="B263" t="s">
        <v>668</v>
      </c>
      <c r="C263" t="s">
        <v>669</v>
      </c>
      <c r="D263" t="s">
        <v>670</v>
      </c>
    </row>
    <row r="264" spans="1:4">
      <c r="A264" t="s">
        <v>639</v>
      </c>
      <c r="B264" t="s">
        <v>671</v>
      </c>
      <c r="C264" t="s">
        <v>672</v>
      </c>
      <c r="D264" t="s">
        <v>673</v>
      </c>
    </row>
    <row r="265" spans="1:4">
      <c r="A265" t="s">
        <v>639</v>
      </c>
      <c r="B265" t="s">
        <v>674</v>
      </c>
      <c r="C265" t="s">
        <v>675</v>
      </c>
      <c r="D265" t="s">
        <v>676</v>
      </c>
    </row>
    <row r="266" spans="1:4">
      <c r="A266" t="s">
        <v>639</v>
      </c>
      <c r="B266" t="s">
        <v>677</v>
      </c>
      <c r="C266" t="s">
        <v>675</v>
      </c>
      <c r="D266" t="s">
        <v>678</v>
      </c>
    </row>
    <row r="267" spans="1:4">
      <c r="A267" t="s">
        <v>639</v>
      </c>
      <c r="B267" t="s">
        <v>679</v>
      </c>
      <c r="C267" t="s">
        <v>680</v>
      </c>
      <c r="D267" t="s">
        <v>681</v>
      </c>
    </row>
    <row r="268" spans="1:4">
      <c r="A268" t="s">
        <v>639</v>
      </c>
      <c r="B268" t="s">
        <v>682</v>
      </c>
      <c r="C268" t="s">
        <v>683</v>
      </c>
      <c r="D268" t="s">
        <v>684</v>
      </c>
    </row>
    <row r="269" spans="1:4">
      <c r="A269" t="s">
        <v>639</v>
      </c>
      <c r="B269" t="s">
        <v>685</v>
      </c>
      <c r="C269" t="s">
        <v>686</v>
      </c>
      <c r="D269" t="s">
        <v>687</v>
      </c>
    </row>
    <row r="270" spans="1:4">
      <c r="A270" t="s">
        <v>639</v>
      </c>
      <c r="B270" t="s">
        <v>688</v>
      </c>
      <c r="C270" t="s">
        <v>689</v>
      </c>
      <c r="D270" t="s">
        <v>690</v>
      </c>
    </row>
    <row r="271" spans="1:4">
      <c r="A271" t="s">
        <v>639</v>
      </c>
      <c r="B271" t="s">
        <v>691</v>
      </c>
      <c r="C271" t="s">
        <v>692</v>
      </c>
      <c r="D271" t="s">
        <v>693</v>
      </c>
    </row>
    <row r="272" spans="1:4">
      <c r="A272" t="s">
        <v>639</v>
      </c>
      <c r="B272" t="s">
        <v>694</v>
      </c>
      <c r="C272" t="s">
        <v>695</v>
      </c>
      <c r="D272" t="s">
        <v>696</v>
      </c>
    </row>
    <row r="273" spans="1:4">
      <c r="A273" t="s">
        <v>639</v>
      </c>
      <c r="B273" t="s">
        <v>697</v>
      </c>
      <c r="C273" t="s">
        <v>692</v>
      </c>
      <c r="D273" t="s">
        <v>698</v>
      </c>
    </row>
    <row r="274" spans="1:4">
      <c r="A274" t="s">
        <v>639</v>
      </c>
      <c r="B274" t="s">
        <v>699</v>
      </c>
      <c r="C274" t="s">
        <v>429</v>
      </c>
      <c r="D274" t="s">
        <v>700</v>
      </c>
    </row>
    <row r="275" spans="1:4">
      <c r="A275" t="s">
        <v>639</v>
      </c>
      <c r="B275" t="s">
        <v>701</v>
      </c>
      <c r="C275" t="s">
        <v>702</v>
      </c>
      <c r="D275" t="s">
        <v>703</v>
      </c>
    </row>
    <row r="276" spans="1:4">
      <c r="A276" t="s">
        <v>639</v>
      </c>
      <c r="B276" t="s">
        <v>704</v>
      </c>
      <c r="C276" t="s">
        <v>705</v>
      </c>
      <c r="D276" t="s">
        <v>706</v>
      </c>
    </row>
    <row r="277" spans="1:4">
      <c r="A277" t="s">
        <v>639</v>
      </c>
      <c r="B277" t="s">
        <v>707</v>
      </c>
      <c r="C277" t="s">
        <v>708</v>
      </c>
      <c r="D277" t="s">
        <v>709</v>
      </c>
    </row>
    <row r="278" spans="1:4">
      <c r="A278" t="s">
        <v>639</v>
      </c>
      <c r="B278" t="s">
        <v>710</v>
      </c>
      <c r="C278" t="s">
        <v>711</v>
      </c>
      <c r="D278" t="s">
        <v>712</v>
      </c>
    </row>
    <row r="279" spans="1:4">
      <c r="A279" t="s">
        <v>639</v>
      </c>
      <c r="B279" t="s">
        <v>713</v>
      </c>
      <c r="C279" t="s">
        <v>714</v>
      </c>
      <c r="D279" t="s">
        <v>715</v>
      </c>
    </row>
    <row r="280" spans="1:4">
      <c r="A280" t="s">
        <v>639</v>
      </c>
      <c r="B280" t="s">
        <v>716</v>
      </c>
      <c r="C280" t="s">
        <v>711</v>
      </c>
      <c r="D280" t="s">
        <v>717</v>
      </c>
    </row>
    <row r="281" spans="1:4">
      <c r="A281" t="s">
        <v>639</v>
      </c>
      <c r="B281" t="s">
        <v>718</v>
      </c>
      <c r="C281" t="s">
        <v>719</v>
      </c>
      <c r="D281" t="s">
        <v>720</v>
      </c>
    </row>
    <row r="282" spans="1:4">
      <c r="A282" t="s">
        <v>639</v>
      </c>
      <c r="B282" t="s">
        <v>721</v>
      </c>
      <c r="C282" t="s">
        <v>722</v>
      </c>
      <c r="D282" t="s">
        <v>723</v>
      </c>
    </row>
    <row r="283" spans="1:4">
      <c r="A283" t="s">
        <v>639</v>
      </c>
      <c r="B283" t="s">
        <v>724</v>
      </c>
      <c r="C283" t="s">
        <v>463</v>
      </c>
      <c r="D283" t="s">
        <v>725</v>
      </c>
    </row>
    <row r="284" spans="1:4">
      <c r="A284" t="s">
        <v>639</v>
      </c>
      <c r="B284" t="s">
        <v>726</v>
      </c>
      <c r="C284" t="s">
        <v>463</v>
      </c>
      <c r="D284" t="s">
        <v>727</v>
      </c>
    </row>
    <row r="285" spans="1:4">
      <c r="A285" t="s">
        <v>639</v>
      </c>
      <c r="B285" t="s">
        <v>728</v>
      </c>
      <c r="C285" t="s">
        <v>722</v>
      </c>
      <c r="D285" t="s">
        <v>729</v>
      </c>
    </row>
    <row r="286" spans="1:4">
      <c r="A286" t="s">
        <v>639</v>
      </c>
      <c r="B286" t="s">
        <v>730</v>
      </c>
      <c r="C286" t="s">
        <v>722</v>
      </c>
      <c r="D286" t="s">
        <v>731</v>
      </c>
    </row>
    <row r="287" spans="1:4">
      <c r="A287" t="s">
        <v>639</v>
      </c>
      <c r="B287" t="s">
        <v>732</v>
      </c>
      <c r="C287" t="s">
        <v>463</v>
      </c>
      <c r="D287" t="s">
        <v>733</v>
      </c>
    </row>
    <row r="288" spans="1:4">
      <c r="A288" t="s">
        <v>639</v>
      </c>
      <c r="B288" t="s">
        <v>734</v>
      </c>
      <c r="C288" t="s">
        <v>735</v>
      </c>
      <c r="D288" t="s">
        <v>736</v>
      </c>
    </row>
    <row r="289" spans="1:4">
      <c r="A289" t="s">
        <v>639</v>
      </c>
      <c r="B289" t="s">
        <v>737</v>
      </c>
      <c r="C289" t="s">
        <v>735</v>
      </c>
      <c r="D289" t="s">
        <v>738</v>
      </c>
    </row>
    <row r="290" spans="1:4">
      <c r="A290" t="s">
        <v>639</v>
      </c>
      <c r="B290" t="s">
        <v>739</v>
      </c>
      <c r="C290" t="s">
        <v>735</v>
      </c>
      <c r="D290" t="s">
        <v>740</v>
      </c>
    </row>
    <row r="291" spans="1:4">
      <c r="A291" t="s">
        <v>639</v>
      </c>
      <c r="B291" t="s">
        <v>741</v>
      </c>
      <c r="C291" t="s">
        <v>692</v>
      </c>
      <c r="D291" t="s">
        <v>742</v>
      </c>
    </row>
    <row r="292" spans="1:4">
      <c r="A292" t="s">
        <v>639</v>
      </c>
      <c r="B292" t="s">
        <v>743</v>
      </c>
      <c r="C292" t="s">
        <v>692</v>
      </c>
      <c r="D292" t="s">
        <v>744</v>
      </c>
    </row>
    <row r="293" spans="1:4">
      <c r="A293" t="s">
        <v>639</v>
      </c>
      <c r="B293" t="s">
        <v>745</v>
      </c>
      <c r="C293" t="s">
        <v>692</v>
      </c>
      <c r="D293" t="s">
        <v>746</v>
      </c>
    </row>
    <row r="294" spans="1:4">
      <c r="A294" t="s">
        <v>639</v>
      </c>
      <c r="B294" t="s">
        <v>747</v>
      </c>
      <c r="C294" t="s">
        <v>748</v>
      </c>
      <c r="D294" t="s">
        <v>749</v>
      </c>
    </row>
    <row r="295" spans="1:4">
      <c r="A295" t="s">
        <v>639</v>
      </c>
      <c r="B295" t="s">
        <v>750</v>
      </c>
      <c r="C295" t="s">
        <v>751</v>
      </c>
      <c r="D295" t="s">
        <v>752</v>
      </c>
    </row>
    <row r="296" spans="1:4">
      <c r="A296" t="s">
        <v>639</v>
      </c>
      <c r="B296" t="s">
        <v>753</v>
      </c>
      <c r="C296" t="s">
        <v>754</v>
      </c>
      <c r="D296" t="s">
        <v>755</v>
      </c>
    </row>
    <row r="297" spans="1:4">
      <c r="A297" t="s">
        <v>639</v>
      </c>
      <c r="B297" t="s">
        <v>756</v>
      </c>
      <c r="C297" t="s">
        <v>757</v>
      </c>
      <c r="D297" t="s">
        <v>758</v>
      </c>
    </row>
    <row r="298" spans="1:4">
      <c r="A298" t="s">
        <v>639</v>
      </c>
      <c r="B298" t="s">
        <v>759</v>
      </c>
      <c r="C298" t="s">
        <v>760</v>
      </c>
      <c r="D298" t="s">
        <v>761</v>
      </c>
    </row>
    <row r="299" spans="1:4">
      <c r="A299" t="s">
        <v>639</v>
      </c>
      <c r="B299" t="s">
        <v>762</v>
      </c>
      <c r="C299" t="s">
        <v>763</v>
      </c>
      <c r="D299" t="s">
        <v>764</v>
      </c>
    </row>
    <row r="300" spans="1:4">
      <c r="A300" t="s">
        <v>639</v>
      </c>
      <c r="B300" t="s">
        <v>765</v>
      </c>
      <c r="C300" t="s">
        <v>766</v>
      </c>
      <c r="D300" t="s">
        <v>767</v>
      </c>
    </row>
    <row r="301" spans="1:4">
      <c r="A301" t="s">
        <v>639</v>
      </c>
      <c r="B301" t="s">
        <v>768</v>
      </c>
      <c r="C301" t="s">
        <v>769</v>
      </c>
      <c r="D301" t="s">
        <v>770</v>
      </c>
    </row>
    <row r="302" spans="1:4">
      <c r="A302" t="s">
        <v>639</v>
      </c>
      <c r="B302" t="s">
        <v>771</v>
      </c>
      <c r="C302" t="s">
        <v>666</v>
      </c>
      <c r="D302" t="s">
        <v>772</v>
      </c>
    </row>
    <row r="303" spans="1:4">
      <c r="A303" t="s">
        <v>639</v>
      </c>
      <c r="B303" t="s">
        <v>773</v>
      </c>
      <c r="D303" t="s">
        <v>774</v>
      </c>
    </row>
    <row r="304" spans="1:4">
      <c r="A304" t="s">
        <v>639</v>
      </c>
      <c r="B304" t="s">
        <v>775</v>
      </c>
      <c r="D304" t="s">
        <v>776</v>
      </c>
    </row>
    <row r="305" spans="1:4">
      <c r="A305" t="s">
        <v>639</v>
      </c>
      <c r="B305" t="s">
        <v>777</v>
      </c>
      <c r="C305" t="s">
        <v>778</v>
      </c>
      <c r="D305" t="s">
        <v>779</v>
      </c>
    </row>
    <row r="306" spans="1:4">
      <c r="A306" t="s">
        <v>639</v>
      </c>
      <c r="B306" t="s">
        <v>780</v>
      </c>
      <c r="C306" t="s">
        <v>781</v>
      </c>
      <c r="D306" t="s">
        <v>782</v>
      </c>
    </row>
    <row r="307" spans="1:4">
      <c r="A307" t="s">
        <v>639</v>
      </c>
      <c r="B307" t="s">
        <v>783</v>
      </c>
      <c r="C307" t="s">
        <v>781</v>
      </c>
      <c r="D307" t="s">
        <v>784</v>
      </c>
    </row>
    <row r="308" spans="1:4">
      <c r="A308" t="s">
        <v>639</v>
      </c>
      <c r="B308" t="s">
        <v>785</v>
      </c>
      <c r="C308" t="s">
        <v>781</v>
      </c>
      <c r="D308" t="s">
        <v>786</v>
      </c>
    </row>
    <row r="309" spans="1:4">
      <c r="A309" t="s">
        <v>639</v>
      </c>
      <c r="B309" t="s">
        <v>787</v>
      </c>
      <c r="C309" t="s">
        <v>781</v>
      </c>
      <c r="D309" t="s">
        <v>788</v>
      </c>
    </row>
    <row r="310" spans="1:4">
      <c r="A310" t="s">
        <v>639</v>
      </c>
      <c r="B310" t="s">
        <v>789</v>
      </c>
      <c r="C310" t="s">
        <v>781</v>
      </c>
      <c r="D310" t="s">
        <v>790</v>
      </c>
    </row>
    <row r="311" spans="1:4">
      <c r="A311" t="s">
        <v>639</v>
      </c>
      <c r="B311" t="s">
        <v>791</v>
      </c>
      <c r="C311" t="s">
        <v>781</v>
      </c>
      <c r="D311" t="s">
        <v>792</v>
      </c>
    </row>
    <row r="312" spans="1:4">
      <c r="A312" t="s">
        <v>639</v>
      </c>
      <c r="B312" t="s">
        <v>793</v>
      </c>
      <c r="C312" t="s">
        <v>722</v>
      </c>
      <c r="D312" t="s">
        <v>794</v>
      </c>
    </row>
    <row r="313" spans="1:4">
      <c r="A313" t="s">
        <v>639</v>
      </c>
      <c r="B313" t="s">
        <v>795</v>
      </c>
      <c r="C313" t="s">
        <v>666</v>
      </c>
      <c r="D313" t="s">
        <v>796</v>
      </c>
    </row>
    <row r="314" spans="1:4">
      <c r="A314" t="s">
        <v>639</v>
      </c>
      <c r="B314" t="s">
        <v>797</v>
      </c>
      <c r="C314" t="s">
        <v>644</v>
      </c>
      <c r="D314" t="s">
        <v>798</v>
      </c>
    </row>
    <row r="315" spans="1:4">
      <c r="A315" t="s">
        <v>639</v>
      </c>
      <c r="B315" t="s">
        <v>799</v>
      </c>
      <c r="C315" t="s">
        <v>666</v>
      </c>
      <c r="D315" t="s">
        <v>800</v>
      </c>
    </row>
    <row r="316" spans="1:4">
      <c r="A316" t="s">
        <v>639</v>
      </c>
      <c r="B316" t="s">
        <v>801</v>
      </c>
      <c r="C316" t="s">
        <v>802</v>
      </c>
      <c r="D316" t="s">
        <v>803</v>
      </c>
    </row>
    <row r="317" spans="1:4">
      <c r="A317" t="s">
        <v>639</v>
      </c>
      <c r="B317" t="s">
        <v>804</v>
      </c>
      <c r="C317" t="s">
        <v>805</v>
      </c>
      <c r="D317" t="s">
        <v>806</v>
      </c>
    </row>
    <row r="318" spans="1:4">
      <c r="A318" t="s">
        <v>639</v>
      </c>
      <c r="B318" t="s">
        <v>807</v>
      </c>
      <c r="C318" t="s">
        <v>808</v>
      </c>
      <c r="D318" t="s">
        <v>809</v>
      </c>
    </row>
    <row r="319" spans="1:4">
      <c r="A319" t="s">
        <v>639</v>
      </c>
      <c r="B319" t="s">
        <v>810</v>
      </c>
      <c r="C319" t="s">
        <v>805</v>
      </c>
      <c r="D319" t="s">
        <v>811</v>
      </c>
    </row>
    <row r="320" spans="1:4">
      <c r="A320" t="s">
        <v>639</v>
      </c>
      <c r="B320" t="s">
        <v>812</v>
      </c>
      <c r="C320" t="s">
        <v>644</v>
      </c>
      <c r="D320" t="s">
        <v>813</v>
      </c>
    </row>
    <row r="321" spans="1:4">
      <c r="A321" t="s">
        <v>639</v>
      </c>
      <c r="B321" t="s">
        <v>814</v>
      </c>
      <c r="C321" t="s">
        <v>463</v>
      </c>
      <c r="D321" t="s">
        <v>815</v>
      </c>
    </row>
    <row r="322" spans="1:4">
      <c r="A322" t="s">
        <v>639</v>
      </c>
      <c r="B322" t="s">
        <v>816</v>
      </c>
      <c r="C322" t="s">
        <v>644</v>
      </c>
      <c r="D322" t="s">
        <v>817</v>
      </c>
    </row>
    <row r="323" spans="1:4">
      <c r="A323" t="s">
        <v>639</v>
      </c>
      <c r="B323" t="s">
        <v>818</v>
      </c>
      <c r="C323" t="s">
        <v>819</v>
      </c>
      <c r="D323" t="s">
        <v>820</v>
      </c>
    </row>
  </sheetData>
  <pageMargins left="0.7" right="0.7" top="0.75" bottom="0.75" header="0.3" footer="0.3"/>
  <pageSetup scale="47" fitToHeight="0" orientation="portrait" r:id="rId1"/>
  <colBreaks count="1" manualBreakCount="1">
    <brk id="2" max="281" man="1"/>
  </colBreak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B646B-DF0D-4B1C-A994-5A2387D016B5}">
  <sheetPr codeName="Sheet1">
    <tabColor rgb="FFFFFF00"/>
  </sheetPr>
  <dimension ref="A1:K387"/>
  <sheetViews>
    <sheetView workbookViewId="0"/>
  </sheetViews>
  <sheetFormatPr defaultRowHeight="14.45"/>
  <cols>
    <col min="1" max="1" width="12.85546875" bestFit="1" customWidth="1"/>
    <col min="2" max="2" width="14.5703125" bestFit="1" customWidth="1"/>
    <col min="3" max="3" width="73.5703125" bestFit="1" customWidth="1"/>
    <col min="4" max="4" width="80.7109375" bestFit="1" customWidth="1"/>
    <col min="5" max="5" width="9.5703125" bestFit="1" customWidth="1"/>
    <col min="6" max="6" width="16.85546875" bestFit="1" customWidth="1"/>
    <col min="7" max="7" width="12.140625" bestFit="1" customWidth="1"/>
    <col min="8" max="8" width="15.85546875" bestFit="1" customWidth="1"/>
    <col min="9" max="9" width="15" bestFit="1" customWidth="1"/>
    <col min="10" max="10" width="12.140625" bestFit="1" customWidth="1"/>
    <col min="11" max="11" width="10.85546875" bestFit="1" customWidth="1"/>
    <col min="12" max="12" width="11" bestFit="1" customWidth="1"/>
  </cols>
  <sheetData>
    <row r="1" spans="1:11">
      <c r="A1" t="s">
        <v>3</v>
      </c>
      <c r="B1" t="s">
        <v>0</v>
      </c>
      <c r="C1" t="s">
        <v>1</v>
      </c>
      <c r="D1" t="s">
        <v>2</v>
      </c>
      <c r="E1" t="s">
        <v>821</v>
      </c>
      <c r="F1" t="s">
        <v>822</v>
      </c>
      <c r="G1" t="s">
        <v>823</v>
      </c>
      <c r="K1" t="str" cm="1">
        <f t="array" ref="K1:K3">_xlfn.UNIQUE(Rate_Card[Pricelist])</f>
        <v>Standard</v>
      </c>
    </row>
    <row r="2" spans="1:11">
      <c r="A2" t="s">
        <v>7</v>
      </c>
      <c r="B2" t="s">
        <v>4</v>
      </c>
      <c r="C2" t="s">
        <v>5</v>
      </c>
      <c r="D2" t="s">
        <v>6</v>
      </c>
      <c r="E2" t="s">
        <v>824</v>
      </c>
      <c r="F2">
        <v>650</v>
      </c>
      <c r="G2">
        <v>800</v>
      </c>
      <c r="K2" t="str">
        <v>Unilever</v>
      </c>
    </row>
    <row r="3" spans="1:11">
      <c r="A3" t="s">
        <v>9</v>
      </c>
      <c r="B3" t="s">
        <v>4</v>
      </c>
      <c r="C3" t="s">
        <v>8</v>
      </c>
      <c r="D3" t="s">
        <v>6</v>
      </c>
      <c r="E3" t="s">
        <v>824</v>
      </c>
      <c r="F3">
        <v>450</v>
      </c>
      <c r="G3">
        <v>550</v>
      </c>
      <c r="K3" t="str">
        <v>EABL</v>
      </c>
    </row>
    <row r="4" spans="1:11">
      <c r="A4" t="s">
        <v>12</v>
      </c>
      <c r="B4" t="s">
        <v>4</v>
      </c>
      <c r="C4" t="s">
        <v>10</v>
      </c>
      <c r="D4" t="s">
        <v>11</v>
      </c>
      <c r="E4" t="s">
        <v>824</v>
      </c>
      <c r="F4">
        <v>650</v>
      </c>
      <c r="G4">
        <v>1040</v>
      </c>
    </row>
    <row r="5" spans="1:11">
      <c r="A5" t="s">
        <v>15</v>
      </c>
      <c r="B5" t="s">
        <v>4</v>
      </c>
      <c r="C5" t="s">
        <v>13</v>
      </c>
      <c r="D5" t="s">
        <v>14</v>
      </c>
      <c r="E5" t="s">
        <v>824</v>
      </c>
      <c r="F5">
        <v>350</v>
      </c>
      <c r="G5">
        <v>560</v>
      </c>
    </row>
    <row r="6" spans="1:11">
      <c r="A6" t="s">
        <v>18</v>
      </c>
      <c r="B6" t="s">
        <v>4</v>
      </c>
      <c r="C6" t="s">
        <v>16</v>
      </c>
      <c r="D6" t="s">
        <v>17</v>
      </c>
      <c r="E6" t="s">
        <v>824</v>
      </c>
      <c r="F6">
        <v>315</v>
      </c>
      <c r="G6">
        <v>504</v>
      </c>
    </row>
    <row r="7" spans="1:11">
      <c r="A7" t="s">
        <v>21</v>
      </c>
      <c r="B7" t="s">
        <v>4</v>
      </c>
      <c r="C7" t="s">
        <v>19</v>
      </c>
      <c r="D7" t="s">
        <v>20</v>
      </c>
      <c r="E7" t="s">
        <v>824</v>
      </c>
      <c r="F7">
        <v>280</v>
      </c>
      <c r="G7">
        <v>450</v>
      </c>
    </row>
    <row r="8" spans="1:11">
      <c r="A8" t="s">
        <v>24</v>
      </c>
      <c r="B8" t="s">
        <v>4</v>
      </c>
      <c r="C8" t="s">
        <v>22</v>
      </c>
      <c r="D8" t="s">
        <v>23</v>
      </c>
      <c r="E8" t="s">
        <v>824</v>
      </c>
      <c r="F8">
        <v>260</v>
      </c>
      <c r="G8">
        <v>470</v>
      </c>
    </row>
    <row r="9" spans="1:11">
      <c r="A9" t="s">
        <v>27</v>
      </c>
      <c r="B9" t="s">
        <v>4</v>
      </c>
      <c r="C9" t="s">
        <v>25</v>
      </c>
      <c r="D9" t="s">
        <v>26</v>
      </c>
      <c r="E9" t="s">
        <v>824</v>
      </c>
      <c r="F9">
        <v>2500</v>
      </c>
      <c r="G9">
        <v>4000</v>
      </c>
    </row>
    <row r="10" spans="1:11">
      <c r="A10" t="s">
        <v>29</v>
      </c>
      <c r="B10" t="s">
        <v>4</v>
      </c>
      <c r="C10" t="s">
        <v>28</v>
      </c>
      <c r="D10" t="s">
        <v>23</v>
      </c>
      <c r="E10" t="s">
        <v>824</v>
      </c>
      <c r="F10">
        <v>800</v>
      </c>
      <c r="G10">
        <v>1280</v>
      </c>
    </row>
    <row r="11" spans="1:11">
      <c r="A11" t="s">
        <v>32</v>
      </c>
      <c r="B11" t="s">
        <v>4</v>
      </c>
      <c r="C11" t="s">
        <v>30</v>
      </c>
      <c r="D11" t="s">
        <v>31</v>
      </c>
      <c r="E11" t="s">
        <v>824</v>
      </c>
      <c r="F11">
        <v>1550</v>
      </c>
      <c r="G11">
        <v>2480</v>
      </c>
    </row>
    <row r="12" spans="1:11">
      <c r="A12" t="s">
        <v>35</v>
      </c>
      <c r="B12" t="s">
        <v>4</v>
      </c>
      <c r="C12" t="s">
        <v>33</v>
      </c>
      <c r="D12" t="s">
        <v>34</v>
      </c>
      <c r="E12" t="s">
        <v>824</v>
      </c>
      <c r="F12">
        <v>1450</v>
      </c>
      <c r="G12">
        <v>2320</v>
      </c>
    </row>
    <row r="13" spans="1:11">
      <c r="A13" t="s">
        <v>37</v>
      </c>
      <c r="B13" t="s">
        <v>4</v>
      </c>
      <c r="C13" t="s">
        <v>36</v>
      </c>
      <c r="D13" t="s">
        <v>23</v>
      </c>
      <c r="E13" t="s">
        <v>824</v>
      </c>
      <c r="F13">
        <v>800</v>
      </c>
      <c r="G13">
        <v>1280</v>
      </c>
    </row>
    <row r="14" spans="1:11">
      <c r="A14" t="s">
        <v>39</v>
      </c>
      <c r="B14" t="s">
        <v>4</v>
      </c>
      <c r="C14" t="s">
        <v>38</v>
      </c>
      <c r="D14" t="s">
        <v>23</v>
      </c>
      <c r="E14" t="s">
        <v>824</v>
      </c>
      <c r="F14">
        <v>500</v>
      </c>
      <c r="G14">
        <v>800</v>
      </c>
    </row>
    <row r="15" spans="1:11">
      <c r="A15" t="s">
        <v>42</v>
      </c>
      <c r="B15" t="s">
        <v>4</v>
      </c>
      <c r="C15" t="s">
        <v>40</v>
      </c>
      <c r="D15" t="s">
        <v>41</v>
      </c>
      <c r="E15" t="s">
        <v>824</v>
      </c>
      <c r="F15">
        <v>150</v>
      </c>
      <c r="G15">
        <v>240</v>
      </c>
    </row>
    <row r="16" spans="1:11">
      <c r="A16" t="s">
        <v>44</v>
      </c>
      <c r="B16" t="s">
        <v>4</v>
      </c>
      <c r="C16" t="s">
        <v>43</v>
      </c>
      <c r="E16" t="s">
        <v>824</v>
      </c>
      <c r="F16">
        <v>300</v>
      </c>
      <c r="G16">
        <v>480</v>
      </c>
    </row>
    <row r="17" spans="1:7">
      <c r="A17" t="s">
        <v>47</v>
      </c>
      <c r="B17" t="s">
        <v>4</v>
      </c>
      <c r="C17" t="s">
        <v>45</v>
      </c>
      <c r="D17" t="s">
        <v>46</v>
      </c>
      <c r="E17" t="s">
        <v>824</v>
      </c>
      <c r="F17">
        <v>7500</v>
      </c>
      <c r="G17">
        <v>14000</v>
      </c>
    </row>
    <row r="18" spans="1:7">
      <c r="A18" t="s">
        <v>50</v>
      </c>
      <c r="B18" t="s">
        <v>4</v>
      </c>
      <c r="C18" t="s">
        <v>48</v>
      </c>
      <c r="D18" t="s">
        <v>49</v>
      </c>
      <c r="E18" t="s">
        <v>824</v>
      </c>
      <c r="F18">
        <v>26000</v>
      </c>
      <c r="G18">
        <v>50000</v>
      </c>
    </row>
    <row r="19" spans="1:7">
      <c r="A19" t="s">
        <v>52</v>
      </c>
      <c r="B19" t="s">
        <v>4</v>
      </c>
      <c r="C19" t="s">
        <v>51</v>
      </c>
      <c r="D19" t="s">
        <v>49</v>
      </c>
      <c r="E19" t="s">
        <v>824</v>
      </c>
      <c r="F19">
        <v>43000</v>
      </c>
      <c r="G19">
        <v>60000</v>
      </c>
    </row>
    <row r="20" spans="1:7">
      <c r="A20" t="s">
        <v>55</v>
      </c>
      <c r="B20" t="s">
        <v>4</v>
      </c>
      <c r="C20" t="s">
        <v>53</v>
      </c>
      <c r="D20" t="s">
        <v>54</v>
      </c>
      <c r="E20" t="s">
        <v>824</v>
      </c>
      <c r="F20">
        <v>22000</v>
      </c>
      <c r="G20">
        <v>35000</v>
      </c>
    </row>
    <row r="21" spans="1:7">
      <c r="A21" t="s">
        <v>56</v>
      </c>
      <c r="B21" t="s">
        <v>4</v>
      </c>
      <c r="C21" t="s">
        <v>53</v>
      </c>
      <c r="D21" t="s">
        <v>49</v>
      </c>
      <c r="E21" t="s">
        <v>824</v>
      </c>
      <c r="F21">
        <v>19000</v>
      </c>
      <c r="G21">
        <v>27000</v>
      </c>
    </row>
    <row r="22" spans="1:7">
      <c r="A22" t="s">
        <v>59</v>
      </c>
      <c r="B22" t="s">
        <v>4</v>
      </c>
      <c r="C22" t="s">
        <v>57</v>
      </c>
      <c r="D22" t="s">
        <v>58</v>
      </c>
      <c r="E22" t="s">
        <v>824</v>
      </c>
      <c r="F22">
        <v>1200</v>
      </c>
      <c r="G22">
        <v>1800</v>
      </c>
    </row>
    <row r="23" spans="1:7">
      <c r="A23" t="s">
        <v>63</v>
      </c>
      <c r="B23" t="s">
        <v>60</v>
      </c>
      <c r="C23" t="s">
        <v>61</v>
      </c>
      <c r="D23" t="s">
        <v>62</v>
      </c>
      <c r="E23" t="s">
        <v>824</v>
      </c>
      <c r="F23">
        <v>15000</v>
      </c>
      <c r="G23">
        <v>22500</v>
      </c>
    </row>
    <row r="24" spans="1:7">
      <c r="A24" t="s">
        <v>65</v>
      </c>
      <c r="B24" t="s">
        <v>60</v>
      </c>
      <c r="C24" t="s">
        <v>61</v>
      </c>
      <c r="D24" t="s">
        <v>64</v>
      </c>
      <c r="E24" t="s">
        <v>824</v>
      </c>
      <c r="F24">
        <v>20000</v>
      </c>
      <c r="G24">
        <v>30000</v>
      </c>
    </row>
    <row r="25" spans="1:7">
      <c r="A25" t="s">
        <v>68</v>
      </c>
      <c r="B25" t="s">
        <v>60</v>
      </c>
      <c r="C25" t="s">
        <v>66</v>
      </c>
      <c r="D25" t="s">
        <v>67</v>
      </c>
      <c r="E25" t="s">
        <v>824</v>
      </c>
      <c r="F25">
        <v>30000</v>
      </c>
      <c r="G25">
        <v>50000</v>
      </c>
    </row>
    <row r="26" spans="1:7">
      <c r="A26" t="s">
        <v>71</v>
      </c>
      <c r="B26" t="s">
        <v>60</v>
      </c>
      <c r="C26" t="s">
        <v>69</v>
      </c>
      <c r="D26" t="s">
        <v>70</v>
      </c>
      <c r="E26" t="s">
        <v>824</v>
      </c>
      <c r="F26">
        <v>15000</v>
      </c>
      <c r="G26">
        <v>20000</v>
      </c>
    </row>
    <row r="27" spans="1:7">
      <c r="A27" t="s">
        <v>74</v>
      </c>
      <c r="B27" t="s">
        <v>60</v>
      </c>
      <c r="C27" t="s">
        <v>72</v>
      </c>
      <c r="D27" t="s">
        <v>73</v>
      </c>
      <c r="E27" t="s">
        <v>824</v>
      </c>
      <c r="F27">
        <v>100000</v>
      </c>
      <c r="G27">
        <v>135000</v>
      </c>
    </row>
    <row r="28" spans="1:7">
      <c r="A28" t="s">
        <v>77</v>
      </c>
      <c r="B28" t="s">
        <v>60</v>
      </c>
      <c r="C28" t="s">
        <v>75</v>
      </c>
      <c r="D28" t="s">
        <v>76</v>
      </c>
      <c r="E28" t="s">
        <v>824</v>
      </c>
      <c r="F28">
        <v>50000</v>
      </c>
      <c r="G28">
        <v>62500</v>
      </c>
    </row>
    <row r="29" spans="1:7">
      <c r="A29" t="s">
        <v>80</v>
      </c>
      <c r="B29" t="s">
        <v>60</v>
      </c>
      <c r="C29" t="s">
        <v>78</v>
      </c>
      <c r="D29" t="s">
        <v>79</v>
      </c>
      <c r="E29" t="s">
        <v>824</v>
      </c>
      <c r="F29">
        <v>5000</v>
      </c>
      <c r="G29">
        <v>7500</v>
      </c>
    </row>
    <row r="30" spans="1:7">
      <c r="A30" t="s">
        <v>83</v>
      </c>
      <c r="B30" t="s">
        <v>60</v>
      </c>
      <c r="C30" t="s">
        <v>81</v>
      </c>
      <c r="D30" t="s">
        <v>82</v>
      </c>
      <c r="E30" t="s">
        <v>824</v>
      </c>
      <c r="F30">
        <v>10000</v>
      </c>
      <c r="G30">
        <v>15000</v>
      </c>
    </row>
    <row r="31" spans="1:7">
      <c r="A31" t="s">
        <v>86</v>
      </c>
      <c r="B31" t="s">
        <v>60</v>
      </c>
      <c r="C31" t="s">
        <v>84</v>
      </c>
      <c r="D31" t="s">
        <v>85</v>
      </c>
      <c r="E31" t="s">
        <v>824</v>
      </c>
      <c r="F31">
        <v>15000</v>
      </c>
      <c r="G31">
        <v>20000</v>
      </c>
    </row>
    <row r="32" spans="1:7">
      <c r="A32" t="s">
        <v>89</v>
      </c>
      <c r="B32" t="s">
        <v>60</v>
      </c>
      <c r="C32" t="s">
        <v>87</v>
      </c>
      <c r="D32" t="s">
        <v>88</v>
      </c>
      <c r="E32" t="s">
        <v>824</v>
      </c>
      <c r="F32">
        <v>10000</v>
      </c>
      <c r="G32">
        <v>15000</v>
      </c>
    </row>
    <row r="33" spans="1:7">
      <c r="A33" t="s">
        <v>92</v>
      </c>
      <c r="B33" t="s">
        <v>60</v>
      </c>
      <c r="C33" t="s">
        <v>90</v>
      </c>
      <c r="D33" t="s">
        <v>91</v>
      </c>
      <c r="E33" t="s">
        <v>824</v>
      </c>
      <c r="F33">
        <v>5000</v>
      </c>
      <c r="G33">
        <v>8500</v>
      </c>
    </row>
    <row r="34" spans="1:7">
      <c r="A34" t="s">
        <v>95</v>
      </c>
      <c r="B34" t="s">
        <v>60</v>
      </c>
      <c r="C34" t="s">
        <v>93</v>
      </c>
      <c r="D34" t="s">
        <v>94</v>
      </c>
      <c r="E34" t="s">
        <v>824</v>
      </c>
      <c r="F34">
        <v>4500</v>
      </c>
      <c r="G34">
        <v>12000</v>
      </c>
    </row>
    <row r="35" spans="1:7">
      <c r="A35" t="s">
        <v>98</v>
      </c>
      <c r="B35" t="s">
        <v>60</v>
      </c>
      <c r="C35" t="s">
        <v>96</v>
      </c>
      <c r="D35" t="s">
        <v>97</v>
      </c>
      <c r="E35" t="s">
        <v>824</v>
      </c>
      <c r="F35">
        <v>6000</v>
      </c>
      <c r="G35">
        <v>12800</v>
      </c>
    </row>
    <row r="36" spans="1:7">
      <c r="A36" t="s">
        <v>101</v>
      </c>
      <c r="B36" t="s">
        <v>60</v>
      </c>
      <c r="C36" t="s">
        <v>99</v>
      </c>
      <c r="D36" t="s">
        <v>100</v>
      </c>
      <c r="E36" t="s">
        <v>824</v>
      </c>
      <c r="F36">
        <v>8000</v>
      </c>
      <c r="G36">
        <v>18000</v>
      </c>
    </row>
    <row r="37" spans="1:7">
      <c r="A37" t="s">
        <v>104</v>
      </c>
      <c r="B37" t="s">
        <v>60</v>
      </c>
      <c r="C37" t="s">
        <v>102</v>
      </c>
      <c r="D37" t="s">
        <v>103</v>
      </c>
      <c r="E37" t="s">
        <v>824</v>
      </c>
      <c r="F37">
        <v>18000</v>
      </c>
      <c r="G37">
        <v>40000</v>
      </c>
    </row>
    <row r="38" spans="1:7">
      <c r="A38" t="s">
        <v>107</v>
      </c>
      <c r="B38" t="s">
        <v>60</v>
      </c>
      <c r="C38" t="s">
        <v>105</v>
      </c>
      <c r="D38" t="s">
        <v>106</v>
      </c>
      <c r="E38" t="s">
        <v>824</v>
      </c>
      <c r="F38">
        <v>70000</v>
      </c>
      <c r="G38">
        <v>110000</v>
      </c>
    </row>
    <row r="39" spans="1:7">
      <c r="A39" t="s">
        <v>110</v>
      </c>
      <c r="B39" t="s">
        <v>60</v>
      </c>
      <c r="C39" t="s">
        <v>108</v>
      </c>
      <c r="D39" t="s">
        <v>109</v>
      </c>
      <c r="E39" t="s">
        <v>824</v>
      </c>
      <c r="F39">
        <v>50000</v>
      </c>
      <c r="G39">
        <v>70000</v>
      </c>
    </row>
    <row r="40" spans="1:7">
      <c r="A40" t="s">
        <v>113</v>
      </c>
      <c r="B40" t="s">
        <v>60</v>
      </c>
      <c r="C40" t="s">
        <v>111</v>
      </c>
      <c r="D40" t="s">
        <v>112</v>
      </c>
      <c r="E40" t="s">
        <v>824</v>
      </c>
      <c r="F40">
        <v>1500</v>
      </c>
      <c r="G40">
        <v>2000</v>
      </c>
    </row>
    <row r="41" spans="1:7">
      <c r="A41" t="s">
        <v>115</v>
      </c>
      <c r="B41" t="s">
        <v>60</v>
      </c>
      <c r="C41" t="s">
        <v>114</v>
      </c>
      <c r="D41" t="s">
        <v>112</v>
      </c>
      <c r="E41" t="s">
        <v>824</v>
      </c>
      <c r="F41">
        <v>2000</v>
      </c>
      <c r="G41">
        <v>2500</v>
      </c>
    </row>
    <row r="42" spans="1:7">
      <c r="A42" t="s">
        <v>118</v>
      </c>
      <c r="B42" t="s">
        <v>60</v>
      </c>
      <c r="C42" t="s">
        <v>116</v>
      </c>
      <c r="D42" t="s">
        <v>117</v>
      </c>
      <c r="E42" t="s">
        <v>824</v>
      </c>
      <c r="F42">
        <v>3500</v>
      </c>
      <c r="G42">
        <v>5000</v>
      </c>
    </row>
    <row r="43" spans="1:7">
      <c r="A43" t="s">
        <v>121</v>
      </c>
      <c r="B43" t="s">
        <v>60</v>
      </c>
      <c r="C43" t="s">
        <v>119</v>
      </c>
      <c r="D43" t="s">
        <v>120</v>
      </c>
      <c r="E43" t="s">
        <v>824</v>
      </c>
      <c r="F43">
        <v>35000</v>
      </c>
      <c r="G43">
        <v>70000</v>
      </c>
    </row>
    <row r="44" spans="1:7">
      <c r="A44" t="s">
        <v>124</v>
      </c>
      <c r="B44" t="s">
        <v>60</v>
      </c>
      <c r="C44" t="s">
        <v>122</v>
      </c>
      <c r="D44" t="s">
        <v>123</v>
      </c>
      <c r="E44" t="s">
        <v>824</v>
      </c>
      <c r="F44">
        <v>100000</v>
      </c>
      <c r="G44">
        <v>150000</v>
      </c>
    </row>
    <row r="45" spans="1:7">
      <c r="A45" t="s">
        <v>127</v>
      </c>
      <c r="B45" t="s">
        <v>60</v>
      </c>
      <c r="C45" t="s">
        <v>125</v>
      </c>
      <c r="D45" t="s">
        <v>126</v>
      </c>
      <c r="E45" t="s">
        <v>824</v>
      </c>
      <c r="F45">
        <v>50000</v>
      </c>
      <c r="G45">
        <v>100000</v>
      </c>
    </row>
    <row r="46" spans="1:7">
      <c r="A46" t="s">
        <v>130</v>
      </c>
      <c r="B46" t="s">
        <v>60</v>
      </c>
      <c r="C46" t="s">
        <v>128</v>
      </c>
      <c r="D46" t="s">
        <v>129</v>
      </c>
      <c r="E46" t="s">
        <v>824</v>
      </c>
      <c r="F46">
        <v>7500</v>
      </c>
      <c r="G46">
        <v>15000</v>
      </c>
    </row>
    <row r="47" spans="1:7">
      <c r="A47" t="s">
        <v>132</v>
      </c>
      <c r="B47" t="s">
        <v>60</v>
      </c>
      <c r="C47" t="s">
        <v>131</v>
      </c>
      <c r="D47" t="s">
        <v>117</v>
      </c>
      <c r="E47" t="s">
        <v>824</v>
      </c>
      <c r="F47">
        <v>5000</v>
      </c>
      <c r="G47">
        <v>7000</v>
      </c>
    </row>
    <row r="48" spans="1:7">
      <c r="A48" t="s">
        <v>135</v>
      </c>
      <c r="B48" t="s">
        <v>60</v>
      </c>
      <c r="C48" t="s">
        <v>133</v>
      </c>
      <c r="D48" t="s">
        <v>134</v>
      </c>
      <c r="E48" t="s">
        <v>824</v>
      </c>
      <c r="F48">
        <v>450</v>
      </c>
      <c r="G48">
        <v>650</v>
      </c>
    </row>
    <row r="49" spans="1:7">
      <c r="A49" t="s">
        <v>137</v>
      </c>
      <c r="B49" t="s">
        <v>60</v>
      </c>
      <c r="C49" t="s">
        <v>136</v>
      </c>
      <c r="D49" t="s">
        <v>117</v>
      </c>
      <c r="E49" t="s">
        <v>824</v>
      </c>
      <c r="F49">
        <v>4500</v>
      </c>
      <c r="G49">
        <v>7000</v>
      </c>
    </row>
    <row r="50" spans="1:7">
      <c r="A50" t="s">
        <v>140</v>
      </c>
      <c r="B50" t="s">
        <v>60</v>
      </c>
      <c r="C50" t="s">
        <v>138</v>
      </c>
      <c r="D50" t="s">
        <v>139</v>
      </c>
      <c r="E50" t="s">
        <v>824</v>
      </c>
      <c r="F50">
        <v>30000</v>
      </c>
      <c r="G50">
        <v>45000</v>
      </c>
    </row>
    <row r="51" spans="1:7">
      <c r="A51" t="s">
        <v>143</v>
      </c>
      <c r="B51" t="s">
        <v>60</v>
      </c>
      <c r="C51" t="s">
        <v>141</v>
      </c>
      <c r="D51" t="s">
        <v>142</v>
      </c>
      <c r="E51" t="s">
        <v>824</v>
      </c>
      <c r="F51">
        <v>50000</v>
      </c>
      <c r="G51">
        <v>65000</v>
      </c>
    </row>
    <row r="52" spans="1:7">
      <c r="A52" t="s">
        <v>146</v>
      </c>
      <c r="B52" t="s">
        <v>60</v>
      </c>
      <c r="C52" t="s">
        <v>144</v>
      </c>
      <c r="D52" t="s">
        <v>145</v>
      </c>
      <c r="E52" t="s">
        <v>824</v>
      </c>
      <c r="F52">
        <v>15000</v>
      </c>
      <c r="G52">
        <v>25000</v>
      </c>
    </row>
    <row r="53" spans="1:7">
      <c r="A53" t="s">
        <v>149</v>
      </c>
      <c r="B53" t="s">
        <v>60</v>
      </c>
      <c r="C53" t="s">
        <v>147</v>
      </c>
      <c r="D53" t="s">
        <v>148</v>
      </c>
      <c r="E53" t="s">
        <v>824</v>
      </c>
      <c r="F53">
        <v>2500</v>
      </c>
      <c r="G53">
        <v>4000</v>
      </c>
    </row>
    <row r="54" spans="1:7">
      <c r="A54" t="s">
        <v>152</v>
      </c>
      <c r="B54" t="s">
        <v>60</v>
      </c>
      <c r="C54" t="s">
        <v>150</v>
      </c>
      <c r="D54" t="s">
        <v>151</v>
      </c>
      <c r="E54" t="s">
        <v>824</v>
      </c>
      <c r="F54">
        <v>5000</v>
      </c>
      <c r="G54">
        <v>7500</v>
      </c>
    </row>
    <row r="55" spans="1:7">
      <c r="A55" t="s">
        <v>155</v>
      </c>
      <c r="B55" t="s">
        <v>60</v>
      </c>
      <c r="C55" t="s">
        <v>153</v>
      </c>
      <c r="D55" t="s">
        <v>154</v>
      </c>
      <c r="E55" t="s">
        <v>824</v>
      </c>
      <c r="F55">
        <v>40000</v>
      </c>
      <c r="G55">
        <v>50000</v>
      </c>
    </row>
    <row r="56" spans="1:7">
      <c r="A56" t="s">
        <v>158</v>
      </c>
      <c r="B56" t="s">
        <v>60</v>
      </c>
      <c r="C56" t="s">
        <v>156</v>
      </c>
      <c r="D56" t="s">
        <v>157</v>
      </c>
      <c r="E56" t="s">
        <v>824</v>
      </c>
      <c r="F56">
        <v>20000</v>
      </c>
      <c r="G56">
        <v>30000</v>
      </c>
    </row>
    <row r="57" spans="1:7">
      <c r="A57" t="s">
        <v>161</v>
      </c>
      <c r="B57" t="s">
        <v>60</v>
      </c>
      <c r="C57" t="s">
        <v>159</v>
      </c>
      <c r="D57" t="s">
        <v>160</v>
      </c>
      <c r="E57" t="s">
        <v>824</v>
      </c>
      <c r="F57">
        <v>8000</v>
      </c>
      <c r="G57">
        <v>10000</v>
      </c>
    </row>
    <row r="58" spans="1:7">
      <c r="A58" t="s">
        <v>164</v>
      </c>
      <c r="B58" t="s">
        <v>60</v>
      </c>
      <c r="C58" t="s">
        <v>162</v>
      </c>
      <c r="D58" t="s">
        <v>163</v>
      </c>
      <c r="E58" t="s">
        <v>824</v>
      </c>
      <c r="F58">
        <v>8000</v>
      </c>
      <c r="G58">
        <v>10000</v>
      </c>
    </row>
    <row r="59" spans="1:7">
      <c r="A59" t="s">
        <v>167</v>
      </c>
      <c r="B59" t="s">
        <v>60</v>
      </c>
      <c r="C59" t="s">
        <v>165</v>
      </c>
      <c r="D59" t="s">
        <v>166</v>
      </c>
      <c r="E59" t="s">
        <v>824</v>
      </c>
      <c r="F59">
        <v>600</v>
      </c>
      <c r="G59">
        <v>950</v>
      </c>
    </row>
    <row r="60" spans="1:7">
      <c r="A60" t="s">
        <v>170</v>
      </c>
      <c r="B60" t="s">
        <v>60</v>
      </c>
      <c r="C60" t="s">
        <v>168</v>
      </c>
      <c r="D60" t="s">
        <v>169</v>
      </c>
      <c r="E60" t="s">
        <v>824</v>
      </c>
      <c r="F60">
        <v>10000</v>
      </c>
      <c r="G60">
        <v>15000</v>
      </c>
    </row>
    <row r="61" spans="1:7">
      <c r="A61" t="s">
        <v>173</v>
      </c>
      <c r="B61" t="s">
        <v>60</v>
      </c>
      <c r="C61" t="s">
        <v>171</v>
      </c>
      <c r="D61" t="s">
        <v>172</v>
      </c>
      <c r="E61" t="s">
        <v>824</v>
      </c>
      <c r="F61">
        <v>15000</v>
      </c>
      <c r="G61">
        <v>20000</v>
      </c>
    </row>
    <row r="62" spans="1:7">
      <c r="A62" t="s">
        <v>176</v>
      </c>
      <c r="B62" t="s">
        <v>60</v>
      </c>
      <c r="C62" t="s">
        <v>174</v>
      </c>
      <c r="D62" t="s">
        <v>175</v>
      </c>
      <c r="E62" t="s">
        <v>824</v>
      </c>
      <c r="F62">
        <v>20000</v>
      </c>
      <c r="G62">
        <v>30000</v>
      </c>
    </row>
    <row r="63" spans="1:7">
      <c r="A63" t="s">
        <v>179</v>
      </c>
      <c r="B63" t="s">
        <v>60</v>
      </c>
      <c r="C63" t="s">
        <v>177</v>
      </c>
      <c r="D63" t="s">
        <v>178</v>
      </c>
      <c r="E63" t="s">
        <v>824</v>
      </c>
      <c r="F63">
        <v>1000</v>
      </c>
      <c r="G63">
        <v>1500</v>
      </c>
    </row>
    <row r="64" spans="1:7">
      <c r="A64" t="s">
        <v>181</v>
      </c>
      <c r="B64" t="s">
        <v>60</v>
      </c>
      <c r="C64" t="s">
        <v>180</v>
      </c>
      <c r="D64" t="s">
        <v>163</v>
      </c>
      <c r="E64" t="s">
        <v>824</v>
      </c>
      <c r="F64">
        <v>8000</v>
      </c>
      <c r="G64">
        <v>10000</v>
      </c>
    </row>
    <row r="65" spans="1:7">
      <c r="A65" t="s">
        <v>183</v>
      </c>
      <c r="B65" t="s">
        <v>60</v>
      </c>
      <c r="C65" t="s">
        <v>182</v>
      </c>
      <c r="D65" t="s">
        <v>117</v>
      </c>
      <c r="E65" t="s">
        <v>824</v>
      </c>
      <c r="F65">
        <v>4500</v>
      </c>
      <c r="G65">
        <v>7000</v>
      </c>
    </row>
    <row r="66" spans="1:7">
      <c r="A66" t="s">
        <v>185</v>
      </c>
      <c r="B66" t="s">
        <v>60</v>
      </c>
      <c r="C66" t="s">
        <v>184</v>
      </c>
      <c r="D66" t="s">
        <v>117</v>
      </c>
      <c r="E66" t="s">
        <v>824</v>
      </c>
      <c r="F66">
        <v>5000</v>
      </c>
      <c r="G66">
        <v>7000</v>
      </c>
    </row>
    <row r="67" spans="1:7">
      <c r="A67" t="s">
        <v>188</v>
      </c>
      <c r="B67" t="s">
        <v>60</v>
      </c>
      <c r="C67" t="s">
        <v>186</v>
      </c>
      <c r="D67" t="s">
        <v>187</v>
      </c>
      <c r="E67" t="s">
        <v>824</v>
      </c>
      <c r="F67">
        <v>160</v>
      </c>
      <c r="G67">
        <v>250</v>
      </c>
    </row>
    <row r="68" spans="1:7">
      <c r="A68" t="s">
        <v>191</v>
      </c>
      <c r="B68" t="s">
        <v>60</v>
      </c>
      <c r="C68" t="s">
        <v>189</v>
      </c>
      <c r="D68" t="s">
        <v>190</v>
      </c>
      <c r="E68" t="s">
        <v>824</v>
      </c>
      <c r="F68">
        <v>1000</v>
      </c>
      <c r="G68">
        <v>1500</v>
      </c>
    </row>
    <row r="69" spans="1:7">
      <c r="A69" t="s">
        <v>194</v>
      </c>
      <c r="B69" t="s">
        <v>60</v>
      </c>
      <c r="C69" t="s">
        <v>192</v>
      </c>
      <c r="D69" t="s">
        <v>193</v>
      </c>
      <c r="E69" t="s">
        <v>824</v>
      </c>
      <c r="F69">
        <v>80000</v>
      </c>
      <c r="G69">
        <v>120000</v>
      </c>
    </row>
    <row r="70" spans="1:7">
      <c r="A70" t="s">
        <v>197</v>
      </c>
      <c r="B70" t="s">
        <v>60</v>
      </c>
      <c r="C70" t="s">
        <v>195</v>
      </c>
      <c r="D70" t="s">
        <v>196</v>
      </c>
      <c r="E70" t="s">
        <v>824</v>
      </c>
      <c r="F70">
        <v>60000</v>
      </c>
      <c r="G70">
        <v>70000</v>
      </c>
    </row>
    <row r="71" spans="1:7">
      <c r="A71" t="s">
        <v>200</v>
      </c>
      <c r="B71" t="s">
        <v>60</v>
      </c>
      <c r="C71" t="s">
        <v>198</v>
      </c>
      <c r="D71" t="s">
        <v>199</v>
      </c>
      <c r="E71" t="s">
        <v>824</v>
      </c>
      <c r="F71">
        <v>20000</v>
      </c>
      <c r="G71">
        <v>35000</v>
      </c>
    </row>
    <row r="72" spans="1:7">
      <c r="A72" t="s">
        <v>203</v>
      </c>
      <c r="B72" t="s">
        <v>60</v>
      </c>
      <c r="C72" t="s">
        <v>201</v>
      </c>
      <c r="D72" t="s">
        <v>202</v>
      </c>
      <c r="E72" t="s">
        <v>824</v>
      </c>
      <c r="F72">
        <v>30000</v>
      </c>
      <c r="G72">
        <v>45000</v>
      </c>
    </row>
    <row r="73" spans="1:7">
      <c r="A73" t="s">
        <v>206</v>
      </c>
      <c r="B73" t="s">
        <v>60</v>
      </c>
      <c r="C73" t="s">
        <v>204</v>
      </c>
      <c r="D73" t="s">
        <v>205</v>
      </c>
      <c r="E73" t="s">
        <v>824</v>
      </c>
      <c r="F73">
        <v>1000</v>
      </c>
      <c r="G73">
        <v>2500</v>
      </c>
    </row>
    <row r="74" spans="1:7">
      <c r="A74" t="s">
        <v>208</v>
      </c>
      <c r="B74" t="s">
        <v>60</v>
      </c>
      <c r="C74" t="s">
        <v>207</v>
      </c>
      <c r="D74" t="s">
        <v>163</v>
      </c>
      <c r="E74" t="s">
        <v>824</v>
      </c>
      <c r="F74">
        <v>3500</v>
      </c>
      <c r="G74">
        <v>5000</v>
      </c>
    </row>
    <row r="75" spans="1:7">
      <c r="A75" t="s">
        <v>211</v>
      </c>
      <c r="B75" t="s">
        <v>60</v>
      </c>
      <c r="C75" t="s">
        <v>209</v>
      </c>
      <c r="D75" t="s">
        <v>210</v>
      </c>
      <c r="E75" t="s">
        <v>824</v>
      </c>
      <c r="F75">
        <v>20000</v>
      </c>
      <c r="G75">
        <v>35000</v>
      </c>
    </row>
    <row r="76" spans="1:7">
      <c r="A76" t="s">
        <v>214</v>
      </c>
      <c r="B76" t="s">
        <v>60</v>
      </c>
      <c r="C76" t="s">
        <v>212</v>
      </c>
      <c r="D76" t="s">
        <v>213</v>
      </c>
      <c r="E76" t="s">
        <v>824</v>
      </c>
      <c r="F76">
        <v>10000</v>
      </c>
      <c r="G76">
        <v>25000</v>
      </c>
    </row>
    <row r="77" spans="1:7">
      <c r="A77" t="s">
        <v>216</v>
      </c>
      <c r="B77" t="s">
        <v>60</v>
      </c>
      <c r="C77" t="s">
        <v>215</v>
      </c>
      <c r="D77" t="s">
        <v>112</v>
      </c>
      <c r="E77" t="s">
        <v>824</v>
      </c>
      <c r="F77">
        <v>8500</v>
      </c>
      <c r="G77">
        <v>10000</v>
      </c>
    </row>
    <row r="78" spans="1:7">
      <c r="A78" t="s">
        <v>218</v>
      </c>
      <c r="B78" t="s">
        <v>60</v>
      </c>
      <c r="C78" t="s">
        <v>217</v>
      </c>
      <c r="D78" t="s">
        <v>112</v>
      </c>
      <c r="E78" t="s">
        <v>824</v>
      </c>
      <c r="F78">
        <v>6000</v>
      </c>
      <c r="G78">
        <v>8000</v>
      </c>
    </row>
    <row r="79" spans="1:7">
      <c r="A79" t="s">
        <v>221</v>
      </c>
      <c r="B79" t="s">
        <v>60</v>
      </c>
      <c r="C79" t="s">
        <v>219</v>
      </c>
      <c r="D79" t="s">
        <v>220</v>
      </c>
      <c r="E79" t="s">
        <v>824</v>
      </c>
      <c r="F79">
        <v>800</v>
      </c>
      <c r="G79">
        <v>1000</v>
      </c>
    </row>
    <row r="80" spans="1:7">
      <c r="A80" t="s">
        <v>224</v>
      </c>
      <c r="B80" t="s">
        <v>60</v>
      </c>
      <c r="C80" t="s">
        <v>222</v>
      </c>
      <c r="D80" t="s">
        <v>223</v>
      </c>
      <c r="E80" t="s">
        <v>824</v>
      </c>
      <c r="F80">
        <v>1500</v>
      </c>
      <c r="G80">
        <v>2500</v>
      </c>
    </row>
    <row r="81" spans="1:7">
      <c r="A81" t="s">
        <v>226</v>
      </c>
      <c r="B81" t="s">
        <v>60</v>
      </c>
      <c r="C81" t="s">
        <v>225</v>
      </c>
      <c r="D81" t="s">
        <v>223</v>
      </c>
      <c r="E81" t="s">
        <v>824</v>
      </c>
      <c r="F81">
        <v>1500</v>
      </c>
      <c r="G81">
        <v>3500</v>
      </c>
    </row>
    <row r="82" spans="1:7">
      <c r="A82" t="s">
        <v>228</v>
      </c>
      <c r="B82" t="s">
        <v>60</v>
      </c>
      <c r="C82" t="s">
        <v>227</v>
      </c>
      <c r="D82" t="s">
        <v>223</v>
      </c>
      <c r="E82" t="s">
        <v>824</v>
      </c>
      <c r="F82">
        <v>2000</v>
      </c>
      <c r="G82">
        <v>5000</v>
      </c>
    </row>
    <row r="83" spans="1:7">
      <c r="A83" t="s">
        <v>231</v>
      </c>
      <c r="B83" t="s">
        <v>60</v>
      </c>
      <c r="C83" t="s">
        <v>229</v>
      </c>
      <c r="D83" t="s">
        <v>230</v>
      </c>
      <c r="E83" t="s">
        <v>824</v>
      </c>
      <c r="F83">
        <v>3500</v>
      </c>
      <c r="G83">
        <v>5000</v>
      </c>
    </row>
    <row r="84" spans="1:7">
      <c r="A84" t="s">
        <v>233</v>
      </c>
      <c r="B84" t="s">
        <v>60</v>
      </c>
      <c r="C84" t="s">
        <v>232</v>
      </c>
      <c r="D84" t="s">
        <v>230</v>
      </c>
      <c r="E84" t="s">
        <v>824</v>
      </c>
      <c r="F84">
        <v>5000</v>
      </c>
      <c r="G84">
        <v>7500</v>
      </c>
    </row>
    <row r="85" spans="1:7">
      <c r="A85" t="s">
        <v>235</v>
      </c>
      <c r="B85" t="s">
        <v>60</v>
      </c>
      <c r="C85" t="s">
        <v>234</v>
      </c>
      <c r="D85" t="s">
        <v>230</v>
      </c>
      <c r="E85" t="s">
        <v>824</v>
      </c>
      <c r="F85">
        <v>7500</v>
      </c>
      <c r="G85">
        <v>10000</v>
      </c>
    </row>
    <row r="86" spans="1:7">
      <c r="A86" t="s">
        <v>237</v>
      </c>
      <c r="B86" t="s">
        <v>60</v>
      </c>
      <c r="C86" t="s">
        <v>236</v>
      </c>
      <c r="D86" t="s">
        <v>117</v>
      </c>
      <c r="E86" t="s">
        <v>824</v>
      </c>
      <c r="F86">
        <v>4000</v>
      </c>
      <c r="G86">
        <v>65000</v>
      </c>
    </row>
    <row r="87" spans="1:7">
      <c r="A87" t="s">
        <v>240</v>
      </c>
      <c r="B87" t="s">
        <v>60</v>
      </c>
      <c r="C87" t="s">
        <v>238</v>
      </c>
      <c r="D87" t="s">
        <v>239</v>
      </c>
      <c r="E87" t="s">
        <v>824</v>
      </c>
      <c r="F87">
        <v>100000</v>
      </c>
      <c r="G87">
        <v>120000</v>
      </c>
    </row>
    <row r="88" spans="1:7">
      <c r="A88" t="s">
        <v>243</v>
      </c>
      <c r="B88" t="s">
        <v>60</v>
      </c>
      <c r="C88" t="s">
        <v>241</v>
      </c>
      <c r="D88" t="s">
        <v>242</v>
      </c>
      <c r="E88" t="s">
        <v>824</v>
      </c>
      <c r="F88">
        <v>60000</v>
      </c>
      <c r="G88">
        <v>85000</v>
      </c>
    </row>
    <row r="89" spans="1:7">
      <c r="A89" t="s">
        <v>245</v>
      </c>
      <c r="B89" t="s">
        <v>60</v>
      </c>
      <c r="C89" t="s">
        <v>244</v>
      </c>
      <c r="D89" t="s">
        <v>148</v>
      </c>
      <c r="E89" t="s">
        <v>824</v>
      </c>
      <c r="F89">
        <v>15000</v>
      </c>
      <c r="G89">
        <v>20000</v>
      </c>
    </row>
    <row r="90" spans="1:7">
      <c r="A90" t="s">
        <v>247</v>
      </c>
      <c r="B90" t="s">
        <v>60</v>
      </c>
      <c r="C90" t="s">
        <v>246</v>
      </c>
      <c r="D90" t="s">
        <v>145</v>
      </c>
      <c r="E90" t="s">
        <v>824</v>
      </c>
      <c r="F90">
        <v>50000</v>
      </c>
      <c r="G90">
        <v>65000</v>
      </c>
    </row>
    <row r="91" spans="1:7">
      <c r="A91" t="s">
        <v>249</v>
      </c>
      <c r="B91" t="s">
        <v>60</v>
      </c>
      <c r="C91" t="s">
        <v>248</v>
      </c>
      <c r="D91" t="s">
        <v>112</v>
      </c>
      <c r="E91" t="s">
        <v>824</v>
      </c>
      <c r="F91">
        <v>1000</v>
      </c>
      <c r="G91">
        <v>1800</v>
      </c>
    </row>
    <row r="92" spans="1:7">
      <c r="A92" t="s">
        <v>251</v>
      </c>
      <c r="B92" t="s">
        <v>60</v>
      </c>
      <c r="C92" t="s">
        <v>250</v>
      </c>
      <c r="D92" t="s">
        <v>112</v>
      </c>
      <c r="E92" t="s">
        <v>824</v>
      </c>
      <c r="F92">
        <v>2000</v>
      </c>
      <c r="G92">
        <v>3500</v>
      </c>
    </row>
    <row r="93" spans="1:7">
      <c r="A93" t="s">
        <v>253</v>
      </c>
      <c r="B93" t="s">
        <v>60</v>
      </c>
      <c r="C93" t="s">
        <v>252</v>
      </c>
      <c r="D93" t="s">
        <v>112</v>
      </c>
      <c r="E93" t="s">
        <v>824</v>
      </c>
      <c r="F93">
        <v>1500</v>
      </c>
      <c r="G93">
        <v>2500</v>
      </c>
    </row>
    <row r="94" spans="1:7">
      <c r="A94" t="s">
        <v>256</v>
      </c>
      <c r="B94" t="s">
        <v>60</v>
      </c>
      <c r="C94" t="s">
        <v>254</v>
      </c>
      <c r="D94" t="s">
        <v>255</v>
      </c>
      <c r="E94" t="s">
        <v>824</v>
      </c>
      <c r="F94">
        <v>100000</v>
      </c>
      <c r="G94">
        <v>150000</v>
      </c>
    </row>
    <row r="95" spans="1:7">
      <c r="A95" t="s">
        <v>259</v>
      </c>
      <c r="B95" t="s">
        <v>60</v>
      </c>
      <c r="C95" t="s">
        <v>257</v>
      </c>
      <c r="D95" t="s">
        <v>258</v>
      </c>
      <c r="E95" t="s">
        <v>824</v>
      </c>
      <c r="F95">
        <v>70000</v>
      </c>
      <c r="G95">
        <v>80000</v>
      </c>
    </row>
    <row r="96" spans="1:7">
      <c r="A96" t="s">
        <v>261</v>
      </c>
      <c r="B96" t="s">
        <v>60</v>
      </c>
      <c r="C96" t="s">
        <v>260</v>
      </c>
      <c r="D96" t="s">
        <v>145</v>
      </c>
      <c r="E96" t="s">
        <v>824</v>
      </c>
      <c r="F96">
        <v>40000</v>
      </c>
      <c r="G96">
        <v>50000</v>
      </c>
    </row>
    <row r="97" spans="1:7">
      <c r="A97" t="s">
        <v>263</v>
      </c>
      <c r="B97" t="s">
        <v>60</v>
      </c>
      <c r="C97" t="s">
        <v>262</v>
      </c>
      <c r="D97" t="s">
        <v>148</v>
      </c>
      <c r="E97" t="s">
        <v>824</v>
      </c>
      <c r="F97">
        <v>3500</v>
      </c>
      <c r="G97">
        <v>5000</v>
      </c>
    </row>
    <row r="98" spans="1:7">
      <c r="A98" t="s">
        <v>266</v>
      </c>
      <c r="B98" t="s">
        <v>60</v>
      </c>
      <c r="C98" t="s">
        <v>264</v>
      </c>
      <c r="D98" t="s">
        <v>265</v>
      </c>
      <c r="E98" t="s">
        <v>824</v>
      </c>
      <c r="F98">
        <v>2500</v>
      </c>
      <c r="G98">
        <v>3500</v>
      </c>
    </row>
    <row r="99" spans="1:7">
      <c r="A99" t="s">
        <v>269</v>
      </c>
      <c r="B99" t="s">
        <v>60</v>
      </c>
      <c r="C99" t="s">
        <v>267</v>
      </c>
      <c r="D99" t="s">
        <v>268</v>
      </c>
      <c r="E99" t="s">
        <v>824</v>
      </c>
      <c r="F99">
        <v>6500</v>
      </c>
      <c r="G99">
        <v>10000</v>
      </c>
    </row>
    <row r="100" spans="1:7">
      <c r="A100" t="s">
        <v>272</v>
      </c>
      <c r="B100" t="s">
        <v>60</v>
      </c>
      <c r="C100" t="s">
        <v>270</v>
      </c>
      <c r="D100" t="s">
        <v>271</v>
      </c>
      <c r="E100" t="s">
        <v>824</v>
      </c>
      <c r="F100">
        <v>30000</v>
      </c>
      <c r="G100">
        <v>45000</v>
      </c>
    </row>
    <row r="101" spans="1:7">
      <c r="A101" t="s">
        <v>275</v>
      </c>
      <c r="B101" t="s">
        <v>60</v>
      </c>
      <c r="C101" t="s">
        <v>273</v>
      </c>
      <c r="D101" t="s">
        <v>274</v>
      </c>
      <c r="E101" t="s">
        <v>824</v>
      </c>
      <c r="F101">
        <v>20000</v>
      </c>
      <c r="G101">
        <v>30000</v>
      </c>
    </row>
    <row r="102" spans="1:7">
      <c r="A102" t="s">
        <v>278</v>
      </c>
      <c r="B102" t="s">
        <v>60</v>
      </c>
      <c r="C102" t="s">
        <v>276</v>
      </c>
      <c r="D102" t="s">
        <v>277</v>
      </c>
      <c r="E102" t="s">
        <v>824</v>
      </c>
      <c r="F102">
        <v>40000</v>
      </c>
      <c r="G102">
        <v>80000</v>
      </c>
    </row>
    <row r="103" spans="1:7">
      <c r="A103" t="s">
        <v>281</v>
      </c>
      <c r="B103" t="s">
        <v>60</v>
      </c>
      <c r="C103" t="s">
        <v>279</v>
      </c>
      <c r="D103" t="s">
        <v>280</v>
      </c>
      <c r="E103" t="s">
        <v>824</v>
      </c>
      <c r="F103">
        <v>150000</v>
      </c>
      <c r="G103">
        <v>200000</v>
      </c>
    </row>
    <row r="104" spans="1:7">
      <c r="A104" t="s">
        <v>284</v>
      </c>
      <c r="B104" t="s">
        <v>60</v>
      </c>
      <c r="C104" t="s">
        <v>282</v>
      </c>
      <c r="D104" t="s">
        <v>283</v>
      </c>
      <c r="E104" t="s">
        <v>824</v>
      </c>
      <c r="F104">
        <v>250000</v>
      </c>
      <c r="G104">
        <v>300000</v>
      </c>
    </row>
    <row r="105" spans="1:7">
      <c r="A105" t="s">
        <v>287</v>
      </c>
      <c r="B105" t="s">
        <v>60</v>
      </c>
      <c r="C105" t="s">
        <v>285</v>
      </c>
      <c r="D105" t="s">
        <v>286</v>
      </c>
      <c r="E105" t="s">
        <v>824</v>
      </c>
      <c r="F105">
        <v>60000</v>
      </c>
      <c r="G105">
        <v>100000</v>
      </c>
    </row>
    <row r="106" spans="1:7">
      <c r="A106" t="s">
        <v>290</v>
      </c>
      <c r="B106" t="s">
        <v>60</v>
      </c>
      <c r="C106" t="s">
        <v>288</v>
      </c>
      <c r="D106" t="s">
        <v>289</v>
      </c>
      <c r="E106" t="s">
        <v>824</v>
      </c>
      <c r="F106">
        <v>6500</v>
      </c>
      <c r="G106">
        <v>10000</v>
      </c>
    </row>
    <row r="107" spans="1:7">
      <c r="A107" t="s">
        <v>292</v>
      </c>
      <c r="B107" t="s">
        <v>60</v>
      </c>
      <c r="C107" t="s">
        <v>291</v>
      </c>
      <c r="D107" t="s">
        <v>178</v>
      </c>
      <c r="E107" t="s">
        <v>824</v>
      </c>
      <c r="F107">
        <v>1000</v>
      </c>
      <c r="G107">
        <v>2000</v>
      </c>
    </row>
    <row r="108" spans="1:7">
      <c r="A108" t="s">
        <v>295</v>
      </c>
      <c r="B108" t="s">
        <v>60</v>
      </c>
      <c r="C108" t="s">
        <v>293</v>
      </c>
      <c r="D108" t="s">
        <v>294</v>
      </c>
      <c r="E108" t="s">
        <v>824</v>
      </c>
      <c r="F108">
        <v>10000</v>
      </c>
      <c r="G108">
        <v>15000</v>
      </c>
    </row>
    <row r="109" spans="1:7">
      <c r="A109" t="s">
        <v>297</v>
      </c>
      <c r="B109" t="s">
        <v>60</v>
      </c>
      <c r="C109" t="s">
        <v>296</v>
      </c>
      <c r="D109" t="s">
        <v>294</v>
      </c>
      <c r="E109" t="s">
        <v>824</v>
      </c>
      <c r="F109">
        <v>30000</v>
      </c>
      <c r="G109">
        <v>40000</v>
      </c>
    </row>
    <row r="110" spans="1:7">
      <c r="A110" t="s">
        <v>299</v>
      </c>
      <c r="B110" t="s">
        <v>60</v>
      </c>
      <c r="C110" t="s">
        <v>298</v>
      </c>
      <c r="D110" t="s">
        <v>294</v>
      </c>
      <c r="E110" t="s">
        <v>824</v>
      </c>
      <c r="F110">
        <v>15000</v>
      </c>
      <c r="G110">
        <v>20000</v>
      </c>
    </row>
    <row r="111" spans="1:7">
      <c r="A111" t="s">
        <v>302</v>
      </c>
      <c r="B111" t="s">
        <v>60</v>
      </c>
      <c r="C111" t="s">
        <v>300</v>
      </c>
      <c r="D111" t="s">
        <v>301</v>
      </c>
      <c r="E111" t="s">
        <v>824</v>
      </c>
      <c r="F111">
        <v>700</v>
      </c>
      <c r="G111">
        <v>1050</v>
      </c>
    </row>
    <row r="112" spans="1:7">
      <c r="A112" t="s">
        <v>305</v>
      </c>
      <c r="B112" t="s">
        <v>60</v>
      </c>
      <c r="C112" t="s">
        <v>303</v>
      </c>
      <c r="D112" t="s">
        <v>304</v>
      </c>
      <c r="E112" t="s">
        <v>824</v>
      </c>
      <c r="F112">
        <v>250</v>
      </c>
      <c r="G112">
        <v>350</v>
      </c>
    </row>
    <row r="113" spans="1:7">
      <c r="A113" t="s">
        <v>308</v>
      </c>
      <c r="B113" t="s">
        <v>60</v>
      </c>
      <c r="C113" t="s">
        <v>306</v>
      </c>
      <c r="D113" t="s">
        <v>307</v>
      </c>
      <c r="E113" t="s">
        <v>824</v>
      </c>
      <c r="F113">
        <v>3500</v>
      </c>
      <c r="G113">
        <v>5000</v>
      </c>
    </row>
    <row r="114" spans="1:7">
      <c r="A114" t="s">
        <v>311</v>
      </c>
      <c r="B114" t="s">
        <v>60</v>
      </c>
      <c r="C114" t="s">
        <v>309</v>
      </c>
      <c r="D114" t="s">
        <v>310</v>
      </c>
      <c r="E114" t="s">
        <v>824</v>
      </c>
      <c r="F114">
        <v>12000</v>
      </c>
      <c r="G114">
        <v>15000</v>
      </c>
    </row>
    <row r="115" spans="1:7">
      <c r="A115" t="s">
        <v>314</v>
      </c>
      <c r="B115" t="s">
        <v>60</v>
      </c>
      <c r="C115" t="s">
        <v>312</v>
      </c>
      <c r="D115" t="s">
        <v>313</v>
      </c>
      <c r="E115" t="s">
        <v>824</v>
      </c>
      <c r="F115">
        <v>15000</v>
      </c>
      <c r="G115">
        <v>20000</v>
      </c>
    </row>
    <row r="116" spans="1:7">
      <c r="A116" t="s">
        <v>317</v>
      </c>
      <c r="B116" t="s">
        <v>60</v>
      </c>
      <c r="C116" t="s">
        <v>315</v>
      </c>
      <c r="D116" t="s">
        <v>316</v>
      </c>
      <c r="E116" t="s">
        <v>824</v>
      </c>
      <c r="F116">
        <v>6500</v>
      </c>
      <c r="G116">
        <v>8000</v>
      </c>
    </row>
    <row r="117" spans="1:7">
      <c r="A117" t="s">
        <v>320</v>
      </c>
      <c r="B117" t="s">
        <v>60</v>
      </c>
      <c r="C117" t="s">
        <v>318</v>
      </c>
      <c r="D117" t="s">
        <v>319</v>
      </c>
      <c r="E117" t="s">
        <v>824</v>
      </c>
      <c r="F117">
        <v>8000</v>
      </c>
      <c r="G117">
        <v>12000</v>
      </c>
    </row>
    <row r="118" spans="1:7">
      <c r="A118" t="s">
        <v>323</v>
      </c>
      <c r="B118" t="s">
        <v>60</v>
      </c>
      <c r="C118" t="s">
        <v>321</v>
      </c>
      <c r="D118" t="s">
        <v>322</v>
      </c>
      <c r="E118" t="s">
        <v>824</v>
      </c>
      <c r="F118">
        <v>4500</v>
      </c>
      <c r="G118">
        <v>5000</v>
      </c>
    </row>
    <row r="119" spans="1:7">
      <c r="A119" t="s">
        <v>325</v>
      </c>
      <c r="B119" t="s">
        <v>60</v>
      </c>
      <c r="C119" t="s">
        <v>324</v>
      </c>
      <c r="D119" t="s">
        <v>322</v>
      </c>
      <c r="E119" t="s">
        <v>824</v>
      </c>
      <c r="F119">
        <v>3500</v>
      </c>
      <c r="G119">
        <v>6500</v>
      </c>
    </row>
    <row r="120" spans="1:7">
      <c r="A120" t="s">
        <v>327</v>
      </c>
      <c r="B120" t="s">
        <v>60</v>
      </c>
      <c r="C120" t="s">
        <v>326</v>
      </c>
      <c r="D120" t="s">
        <v>117</v>
      </c>
      <c r="E120" t="s">
        <v>824</v>
      </c>
      <c r="F120">
        <v>4500</v>
      </c>
      <c r="G120">
        <v>7000</v>
      </c>
    </row>
    <row r="121" spans="1:7">
      <c r="A121" t="s">
        <v>330</v>
      </c>
      <c r="B121" t="s">
        <v>60</v>
      </c>
      <c r="C121" t="s">
        <v>328</v>
      </c>
      <c r="D121" t="s">
        <v>329</v>
      </c>
      <c r="E121" t="s">
        <v>824</v>
      </c>
      <c r="F121">
        <v>1000</v>
      </c>
      <c r="G121">
        <v>2000</v>
      </c>
    </row>
    <row r="122" spans="1:7">
      <c r="A122" t="s">
        <v>333</v>
      </c>
      <c r="B122" t="s">
        <v>60</v>
      </c>
      <c r="C122" t="s">
        <v>331</v>
      </c>
      <c r="D122" t="s">
        <v>332</v>
      </c>
      <c r="E122" t="s">
        <v>824</v>
      </c>
      <c r="F122">
        <v>1000</v>
      </c>
      <c r="G122">
        <v>2000</v>
      </c>
    </row>
    <row r="123" spans="1:7">
      <c r="A123" t="s">
        <v>335</v>
      </c>
      <c r="B123" t="s">
        <v>60</v>
      </c>
      <c r="C123" t="s">
        <v>334</v>
      </c>
      <c r="D123" t="s">
        <v>202</v>
      </c>
      <c r="E123" t="s">
        <v>824</v>
      </c>
      <c r="F123">
        <v>25000</v>
      </c>
      <c r="G123">
        <v>38700</v>
      </c>
    </row>
    <row r="124" spans="1:7">
      <c r="A124" t="s">
        <v>338</v>
      </c>
      <c r="B124" t="s">
        <v>60</v>
      </c>
      <c r="C124" t="s">
        <v>336</v>
      </c>
      <c r="D124" t="s">
        <v>337</v>
      </c>
      <c r="E124" t="s">
        <v>824</v>
      </c>
      <c r="F124">
        <v>25000</v>
      </c>
      <c r="G124">
        <v>35000</v>
      </c>
    </row>
    <row r="125" spans="1:7">
      <c r="A125" t="s">
        <v>341</v>
      </c>
      <c r="B125" t="s">
        <v>60</v>
      </c>
      <c r="C125" t="s">
        <v>339</v>
      </c>
      <c r="D125" t="s">
        <v>340</v>
      </c>
      <c r="E125" t="s">
        <v>824</v>
      </c>
      <c r="F125">
        <v>60000</v>
      </c>
      <c r="G125">
        <v>80000</v>
      </c>
    </row>
    <row r="126" spans="1:7">
      <c r="A126" t="s">
        <v>344</v>
      </c>
      <c r="B126" t="s">
        <v>60</v>
      </c>
      <c r="C126" t="s">
        <v>342</v>
      </c>
      <c r="D126" t="s">
        <v>343</v>
      </c>
      <c r="E126" t="s">
        <v>824</v>
      </c>
      <c r="F126">
        <v>45000</v>
      </c>
      <c r="G126">
        <v>50000</v>
      </c>
    </row>
    <row r="127" spans="1:7">
      <c r="A127" t="s">
        <v>346</v>
      </c>
      <c r="B127" t="s">
        <v>60</v>
      </c>
      <c r="C127" t="s">
        <v>345</v>
      </c>
      <c r="D127" t="s">
        <v>337</v>
      </c>
      <c r="E127" t="s">
        <v>824</v>
      </c>
      <c r="F127">
        <v>100000</v>
      </c>
      <c r="G127">
        <v>150000</v>
      </c>
    </row>
    <row r="128" spans="1:7">
      <c r="A128" t="s">
        <v>348</v>
      </c>
      <c r="B128" t="s">
        <v>60</v>
      </c>
      <c r="C128" t="s">
        <v>347</v>
      </c>
      <c r="D128" t="s">
        <v>340</v>
      </c>
      <c r="E128" t="s">
        <v>824</v>
      </c>
      <c r="F128">
        <v>150000</v>
      </c>
      <c r="G128">
        <v>250000</v>
      </c>
    </row>
    <row r="129" spans="1:7">
      <c r="A129" t="s">
        <v>350</v>
      </c>
      <c r="B129" t="s">
        <v>60</v>
      </c>
      <c r="C129" t="s">
        <v>349</v>
      </c>
      <c r="D129" t="s">
        <v>343</v>
      </c>
      <c r="E129" t="s">
        <v>824</v>
      </c>
      <c r="F129">
        <v>150000</v>
      </c>
      <c r="G129">
        <v>200000</v>
      </c>
    </row>
    <row r="130" spans="1:7">
      <c r="A130" t="s">
        <v>353</v>
      </c>
      <c r="B130" t="s">
        <v>60</v>
      </c>
      <c r="C130" t="s">
        <v>351</v>
      </c>
      <c r="D130" t="s">
        <v>352</v>
      </c>
      <c r="E130" t="s">
        <v>824</v>
      </c>
      <c r="F130">
        <v>1000</v>
      </c>
      <c r="G130">
        <v>1800</v>
      </c>
    </row>
    <row r="131" spans="1:7">
      <c r="A131" t="s">
        <v>355</v>
      </c>
      <c r="B131" t="s">
        <v>60</v>
      </c>
      <c r="C131" t="s">
        <v>354</v>
      </c>
      <c r="D131" t="s">
        <v>163</v>
      </c>
      <c r="E131" t="s">
        <v>824</v>
      </c>
      <c r="F131">
        <v>6500</v>
      </c>
      <c r="G131">
        <v>10000</v>
      </c>
    </row>
    <row r="132" spans="1:7">
      <c r="A132" t="s">
        <v>357</v>
      </c>
      <c r="B132" t="s">
        <v>60</v>
      </c>
      <c r="C132" t="s">
        <v>356</v>
      </c>
      <c r="E132" t="s">
        <v>824</v>
      </c>
      <c r="F132">
        <v>1000</v>
      </c>
      <c r="G132">
        <v>2000</v>
      </c>
    </row>
    <row r="133" spans="1:7">
      <c r="A133" t="s">
        <v>359</v>
      </c>
      <c r="B133" t="s">
        <v>60</v>
      </c>
      <c r="C133" t="s">
        <v>358</v>
      </c>
      <c r="D133" t="s">
        <v>117</v>
      </c>
      <c r="E133" t="s">
        <v>824</v>
      </c>
      <c r="F133">
        <v>4000</v>
      </c>
      <c r="G133">
        <v>6500</v>
      </c>
    </row>
    <row r="134" spans="1:7">
      <c r="A134" t="s">
        <v>362</v>
      </c>
      <c r="B134" t="s">
        <v>60</v>
      </c>
      <c r="C134" t="s">
        <v>360</v>
      </c>
      <c r="D134" t="s">
        <v>361</v>
      </c>
      <c r="E134" t="s">
        <v>824</v>
      </c>
      <c r="F134">
        <v>1000</v>
      </c>
      <c r="G134">
        <v>2000</v>
      </c>
    </row>
    <row r="135" spans="1:7">
      <c r="A135" t="s">
        <v>365</v>
      </c>
      <c r="B135" t="s">
        <v>60</v>
      </c>
      <c r="C135" t="s">
        <v>363</v>
      </c>
      <c r="D135" t="s">
        <v>364</v>
      </c>
      <c r="E135" t="s">
        <v>824</v>
      </c>
      <c r="F135">
        <v>5000</v>
      </c>
      <c r="G135">
        <v>6500</v>
      </c>
    </row>
    <row r="136" spans="1:7">
      <c r="A136" t="s">
        <v>368</v>
      </c>
      <c r="B136" t="s">
        <v>60</v>
      </c>
      <c r="C136" t="s">
        <v>366</v>
      </c>
      <c r="D136" t="s">
        <v>367</v>
      </c>
      <c r="E136" t="s">
        <v>824</v>
      </c>
      <c r="F136">
        <v>6000</v>
      </c>
      <c r="G136">
        <v>8500</v>
      </c>
    </row>
    <row r="137" spans="1:7">
      <c r="A137" t="s">
        <v>371</v>
      </c>
      <c r="B137" t="s">
        <v>60</v>
      </c>
      <c r="C137" t="s">
        <v>369</v>
      </c>
      <c r="D137" t="s">
        <v>370</v>
      </c>
      <c r="E137" t="s">
        <v>824</v>
      </c>
      <c r="F137">
        <v>3500</v>
      </c>
      <c r="G137">
        <v>4500</v>
      </c>
    </row>
    <row r="138" spans="1:7">
      <c r="A138" t="s">
        <v>374</v>
      </c>
      <c r="B138" t="s">
        <v>60</v>
      </c>
      <c r="C138" t="s">
        <v>372</v>
      </c>
      <c r="D138" t="s">
        <v>373</v>
      </c>
      <c r="E138" t="s">
        <v>824</v>
      </c>
      <c r="F138">
        <v>450</v>
      </c>
      <c r="G138">
        <v>700</v>
      </c>
    </row>
    <row r="139" spans="1:7">
      <c r="A139" t="s">
        <v>377</v>
      </c>
      <c r="B139" t="s">
        <v>60</v>
      </c>
      <c r="C139" t="s">
        <v>375</v>
      </c>
      <c r="D139" t="s">
        <v>376</v>
      </c>
      <c r="E139" t="s">
        <v>824</v>
      </c>
      <c r="F139">
        <v>20000</v>
      </c>
      <c r="G139">
        <v>25000</v>
      </c>
    </row>
    <row r="140" spans="1:7">
      <c r="A140" t="s">
        <v>380</v>
      </c>
      <c r="B140" t="s">
        <v>60</v>
      </c>
      <c r="C140" t="s">
        <v>378</v>
      </c>
      <c r="D140" t="s">
        <v>379</v>
      </c>
      <c r="E140" t="s">
        <v>824</v>
      </c>
      <c r="F140">
        <v>40000</v>
      </c>
      <c r="G140">
        <v>50000</v>
      </c>
    </row>
    <row r="141" spans="1:7">
      <c r="A141" t="s">
        <v>383</v>
      </c>
      <c r="B141" t="s">
        <v>60</v>
      </c>
      <c r="C141" t="s">
        <v>381</v>
      </c>
      <c r="D141" t="s">
        <v>382</v>
      </c>
      <c r="E141" t="s">
        <v>824</v>
      </c>
      <c r="F141">
        <v>100000</v>
      </c>
      <c r="G141">
        <v>120000</v>
      </c>
    </row>
    <row r="142" spans="1:7">
      <c r="A142" t="s">
        <v>386</v>
      </c>
      <c r="B142" t="s">
        <v>60</v>
      </c>
      <c r="C142" t="s">
        <v>384</v>
      </c>
      <c r="D142" t="s">
        <v>385</v>
      </c>
      <c r="E142" t="s">
        <v>824</v>
      </c>
      <c r="F142">
        <v>30000</v>
      </c>
      <c r="G142">
        <v>35000</v>
      </c>
    </row>
    <row r="143" spans="1:7">
      <c r="A143" t="s">
        <v>389</v>
      </c>
      <c r="B143" t="s">
        <v>387</v>
      </c>
      <c r="C143" t="s">
        <v>388</v>
      </c>
      <c r="E143" t="s">
        <v>825</v>
      </c>
      <c r="F143">
        <v>0</v>
      </c>
      <c r="G143">
        <v>0</v>
      </c>
    </row>
    <row r="144" spans="1:7">
      <c r="A144" t="s">
        <v>389</v>
      </c>
      <c r="B144" t="s">
        <v>387</v>
      </c>
      <c r="C144" t="s">
        <v>388</v>
      </c>
      <c r="E144" t="s">
        <v>824</v>
      </c>
      <c r="F144">
        <v>0</v>
      </c>
      <c r="G144">
        <v>0</v>
      </c>
    </row>
    <row r="145" spans="1:7">
      <c r="A145" t="s">
        <v>389</v>
      </c>
      <c r="B145" t="s">
        <v>387</v>
      </c>
      <c r="C145" t="s">
        <v>388</v>
      </c>
      <c r="E145" t="s">
        <v>826</v>
      </c>
      <c r="F145">
        <v>0</v>
      </c>
      <c r="G145">
        <v>0</v>
      </c>
    </row>
    <row r="146" spans="1:7">
      <c r="A146" t="s">
        <v>391</v>
      </c>
      <c r="B146" t="s">
        <v>387</v>
      </c>
      <c r="C146" t="s">
        <v>390</v>
      </c>
      <c r="E146" t="s">
        <v>825</v>
      </c>
      <c r="F146">
        <v>0</v>
      </c>
      <c r="G146">
        <v>0</v>
      </c>
    </row>
    <row r="147" spans="1:7">
      <c r="A147" t="s">
        <v>391</v>
      </c>
      <c r="B147" t="s">
        <v>387</v>
      </c>
      <c r="C147" t="s">
        <v>390</v>
      </c>
      <c r="E147" t="s">
        <v>826</v>
      </c>
      <c r="F147">
        <v>0</v>
      </c>
      <c r="G147">
        <v>0</v>
      </c>
    </row>
    <row r="148" spans="1:7">
      <c r="A148" t="s">
        <v>391</v>
      </c>
      <c r="B148" t="s">
        <v>387</v>
      </c>
      <c r="C148" t="s">
        <v>390</v>
      </c>
      <c r="E148" t="s">
        <v>824</v>
      </c>
      <c r="F148">
        <v>0</v>
      </c>
      <c r="G148">
        <v>0</v>
      </c>
    </row>
    <row r="149" spans="1:7">
      <c r="A149" t="s">
        <v>393</v>
      </c>
      <c r="B149" t="s">
        <v>387</v>
      </c>
      <c r="C149" t="s">
        <v>392</v>
      </c>
      <c r="E149" t="s">
        <v>824</v>
      </c>
      <c r="F149">
        <v>0</v>
      </c>
      <c r="G149">
        <v>0</v>
      </c>
    </row>
    <row r="150" spans="1:7">
      <c r="A150" t="s">
        <v>393</v>
      </c>
      <c r="B150" t="s">
        <v>387</v>
      </c>
      <c r="C150" t="s">
        <v>392</v>
      </c>
      <c r="E150" t="s">
        <v>825</v>
      </c>
      <c r="F150">
        <v>0</v>
      </c>
      <c r="G150">
        <v>0</v>
      </c>
    </row>
    <row r="151" spans="1:7">
      <c r="A151" t="s">
        <v>393</v>
      </c>
      <c r="B151" t="s">
        <v>387</v>
      </c>
      <c r="C151" t="s">
        <v>392</v>
      </c>
      <c r="E151" t="s">
        <v>826</v>
      </c>
      <c r="F151">
        <v>0</v>
      </c>
      <c r="G151">
        <v>0</v>
      </c>
    </row>
    <row r="152" spans="1:7">
      <c r="A152" t="s">
        <v>395</v>
      </c>
      <c r="B152" t="s">
        <v>387</v>
      </c>
      <c r="C152" t="s">
        <v>394</v>
      </c>
      <c r="E152" t="s">
        <v>825</v>
      </c>
      <c r="F152">
        <v>0</v>
      </c>
      <c r="G152">
        <v>0</v>
      </c>
    </row>
    <row r="153" spans="1:7">
      <c r="A153" t="s">
        <v>395</v>
      </c>
      <c r="B153" t="s">
        <v>387</v>
      </c>
      <c r="C153" t="s">
        <v>394</v>
      </c>
      <c r="E153" t="s">
        <v>826</v>
      </c>
      <c r="F153">
        <v>0</v>
      </c>
      <c r="G153">
        <v>0</v>
      </c>
    </row>
    <row r="154" spans="1:7">
      <c r="A154" t="s">
        <v>395</v>
      </c>
      <c r="B154" t="s">
        <v>387</v>
      </c>
      <c r="C154" t="s">
        <v>394</v>
      </c>
      <c r="E154" t="s">
        <v>824</v>
      </c>
      <c r="F154">
        <v>0</v>
      </c>
      <c r="G154">
        <v>0</v>
      </c>
    </row>
    <row r="155" spans="1:7">
      <c r="A155" t="s">
        <v>397</v>
      </c>
      <c r="B155" t="s">
        <v>387</v>
      </c>
      <c r="C155" t="s">
        <v>396</v>
      </c>
      <c r="E155" t="s">
        <v>825</v>
      </c>
      <c r="F155">
        <v>0</v>
      </c>
      <c r="G155">
        <v>0</v>
      </c>
    </row>
    <row r="156" spans="1:7">
      <c r="A156" t="s">
        <v>397</v>
      </c>
      <c r="B156" t="s">
        <v>387</v>
      </c>
      <c r="C156" t="s">
        <v>396</v>
      </c>
      <c r="E156" t="s">
        <v>824</v>
      </c>
      <c r="F156">
        <v>0</v>
      </c>
      <c r="G156">
        <v>0</v>
      </c>
    </row>
    <row r="157" spans="1:7">
      <c r="A157" t="s">
        <v>397</v>
      </c>
      <c r="B157" t="s">
        <v>387</v>
      </c>
      <c r="C157" t="s">
        <v>396</v>
      </c>
      <c r="E157" t="s">
        <v>826</v>
      </c>
      <c r="F157">
        <v>0</v>
      </c>
      <c r="G157">
        <v>0</v>
      </c>
    </row>
    <row r="158" spans="1:7">
      <c r="A158" t="s">
        <v>399</v>
      </c>
      <c r="B158" t="s">
        <v>387</v>
      </c>
      <c r="C158" t="s">
        <v>398</v>
      </c>
      <c r="E158" t="s">
        <v>824</v>
      </c>
      <c r="F158">
        <v>0</v>
      </c>
      <c r="G158">
        <v>0</v>
      </c>
    </row>
    <row r="159" spans="1:7">
      <c r="A159" t="s">
        <v>399</v>
      </c>
      <c r="B159" t="s">
        <v>387</v>
      </c>
      <c r="C159" t="s">
        <v>398</v>
      </c>
      <c r="E159" t="s">
        <v>825</v>
      </c>
      <c r="F159">
        <v>0</v>
      </c>
      <c r="G159">
        <v>0</v>
      </c>
    </row>
    <row r="160" spans="1:7">
      <c r="A160" t="s">
        <v>399</v>
      </c>
      <c r="B160" t="s">
        <v>387</v>
      </c>
      <c r="C160" t="s">
        <v>398</v>
      </c>
      <c r="E160" t="s">
        <v>826</v>
      </c>
      <c r="F160">
        <v>0</v>
      </c>
      <c r="G160">
        <v>0</v>
      </c>
    </row>
    <row r="161" spans="1:7">
      <c r="A161" t="s">
        <v>401</v>
      </c>
      <c r="B161" t="s">
        <v>387</v>
      </c>
      <c r="C161" t="s">
        <v>400</v>
      </c>
      <c r="E161" t="s">
        <v>824</v>
      </c>
      <c r="F161">
        <v>0</v>
      </c>
      <c r="G161">
        <v>0</v>
      </c>
    </row>
    <row r="162" spans="1:7">
      <c r="A162" t="s">
        <v>401</v>
      </c>
      <c r="B162" t="s">
        <v>387</v>
      </c>
      <c r="C162" t="s">
        <v>400</v>
      </c>
      <c r="E162" t="s">
        <v>825</v>
      </c>
      <c r="F162">
        <v>0</v>
      </c>
      <c r="G162">
        <v>0</v>
      </c>
    </row>
    <row r="163" spans="1:7">
      <c r="A163" t="s">
        <v>401</v>
      </c>
      <c r="B163" t="s">
        <v>387</v>
      </c>
      <c r="C163" t="s">
        <v>400</v>
      </c>
      <c r="E163" t="s">
        <v>826</v>
      </c>
      <c r="F163">
        <v>0</v>
      </c>
      <c r="G163">
        <v>0</v>
      </c>
    </row>
    <row r="164" spans="1:7">
      <c r="A164" t="s">
        <v>403</v>
      </c>
      <c r="B164" t="s">
        <v>387</v>
      </c>
      <c r="C164" t="s">
        <v>402</v>
      </c>
      <c r="E164" t="s">
        <v>825</v>
      </c>
      <c r="F164">
        <v>0</v>
      </c>
      <c r="G164">
        <v>0</v>
      </c>
    </row>
    <row r="165" spans="1:7">
      <c r="A165" t="s">
        <v>403</v>
      </c>
      <c r="B165" t="s">
        <v>387</v>
      </c>
      <c r="C165" t="s">
        <v>402</v>
      </c>
      <c r="E165" t="s">
        <v>826</v>
      </c>
      <c r="F165">
        <v>0</v>
      </c>
      <c r="G165">
        <v>0</v>
      </c>
    </row>
    <row r="166" spans="1:7">
      <c r="A166" t="s">
        <v>403</v>
      </c>
      <c r="B166" t="s">
        <v>387</v>
      </c>
      <c r="C166" t="s">
        <v>402</v>
      </c>
      <c r="E166" t="s">
        <v>824</v>
      </c>
      <c r="F166">
        <v>0</v>
      </c>
      <c r="G166">
        <v>0</v>
      </c>
    </row>
    <row r="167" spans="1:7">
      <c r="A167" t="s">
        <v>407</v>
      </c>
      <c r="B167" t="s">
        <v>404</v>
      </c>
      <c r="C167" t="s">
        <v>405</v>
      </c>
      <c r="D167" t="s">
        <v>406</v>
      </c>
      <c r="E167" t="s">
        <v>824</v>
      </c>
      <c r="F167">
        <v>10000</v>
      </c>
      <c r="G167">
        <v>15000</v>
      </c>
    </row>
    <row r="168" spans="1:7">
      <c r="A168" t="s">
        <v>409</v>
      </c>
      <c r="B168" t="s">
        <v>404</v>
      </c>
      <c r="C168" t="s">
        <v>405</v>
      </c>
      <c r="D168" t="s">
        <v>408</v>
      </c>
      <c r="E168" t="s">
        <v>824</v>
      </c>
      <c r="F168">
        <v>20000</v>
      </c>
      <c r="G168">
        <v>30000</v>
      </c>
    </row>
    <row r="169" spans="1:7">
      <c r="A169" t="s">
        <v>411</v>
      </c>
      <c r="B169" t="s">
        <v>404</v>
      </c>
      <c r="C169" t="s">
        <v>405</v>
      </c>
      <c r="D169" t="s">
        <v>410</v>
      </c>
      <c r="E169" t="s">
        <v>824</v>
      </c>
      <c r="F169">
        <v>10000</v>
      </c>
      <c r="G169">
        <v>15000</v>
      </c>
    </row>
    <row r="170" spans="1:7">
      <c r="A170" t="s">
        <v>413</v>
      </c>
      <c r="B170" t="s">
        <v>404</v>
      </c>
      <c r="C170" t="s">
        <v>405</v>
      </c>
      <c r="D170" t="s">
        <v>412</v>
      </c>
      <c r="E170" t="s">
        <v>824</v>
      </c>
      <c r="F170">
        <v>20000</v>
      </c>
      <c r="G170">
        <v>35000</v>
      </c>
    </row>
    <row r="171" spans="1:7">
      <c r="A171" t="s">
        <v>416</v>
      </c>
      <c r="B171" t="s">
        <v>404</v>
      </c>
      <c r="C171" t="s">
        <v>414</v>
      </c>
      <c r="D171" t="s">
        <v>415</v>
      </c>
      <c r="E171" t="s">
        <v>824</v>
      </c>
      <c r="F171">
        <v>2000</v>
      </c>
      <c r="G171">
        <v>3500</v>
      </c>
    </row>
    <row r="172" spans="1:7">
      <c r="A172" t="s">
        <v>418</v>
      </c>
      <c r="B172" t="s">
        <v>404</v>
      </c>
      <c r="C172" t="s">
        <v>417</v>
      </c>
      <c r="D172" t="s">
        <v>406</v>
      </c>
      <c r="E172" t="s">
        <v>824</v>
      </c>
      <c r="F172">
        <v>20000</v>
      </c>
      <c r="G172">
        <v>35000</v>
      </c>
    </row>
    <row r="173" spans="1:7">
      <c r="A173" t="s">
        <v>419</v>
      </c>
      <c r="B173" t="s">
        <v>404</v>
      </c>
      <c r="C173" t="s">
        <v>417</v>
      </c>
      <c r="D173" t="s">
        <v>408</v>
      </c>
      <c r="E173" t="s">
        <v>824</v>
      </c>
      <c r="F173">
        <v>20000</v>
      </c>
      <c r="G173">
        <v>40000</v>
      </c>
    </row>
    <row r="174" spans="1:7">
      <c r="A174" t="s">
        <v>420</v>
      </c>
      <c r="B174" t="s">
        <v>404</v>
      </c>
      <c r="C174" t="s">
        <v>417</v>
      </c>
      <c r="D174" t="s">
        <v>410</v>
      </c>
      <c r="E174" t="s">
        <v>824</v>
      </c>
      <c r="F174">
        <v>20000</v>
      </c>
      <c r="G174">
        <v>25000</v>
      </c>
    </row>
    <row r="175" spans="1:7">
      <c r="A175" t="s">
        <v>421</v>
      </c>
      <c r="B175" t="s">
        <v>404</v>
      </c>
      <c r="C175" t="s">
        <v>417</v>
      </c>
      <c r="D175" t="s">
        <v>412</v>
      </c>
      <c r="E175" t="s">
        <v>824</v>
      </c>
      <c r="F175">
        <v>20000</v>
      </c>
      <c r="G175">
        <v>45000</v>
      </c>
    </row>
    <row r="176" spans="1:7">
      <c r="A176" t="s">
        <v>424</v>
      </c>
      <c r="B176" t="s">
        <v>404</v>
      </c>
      <c r="C176" t="s">
        <v>422</v>
      </c>
      <c r="D176" t="s">
        <v>423</v>
      </c>
      <c r="E176" t="s">
        <v>824</v>
      </c>
      <c r="F176">
        <v>20000</v>
      </c>
      <c r="G176">
        <v>34000</v>
      </c>
    </row>
    <row r="177" spans="1:7">
      <c r="A177" t="s">
        <v>427</v>
      </c>
      <c r="B177" t="s">
        <v>404</v>
      </c>
      <c r="C177" t="s">
        <v>425</v>
      </c>
      <c r="D177" t="s">
        <v>426</v>
      </c>
      <c r="E177" t="s">
        <v>824</v>
      </c>
      <c r="F177">
        <v>20000</v>
      </c>
      <c r="G177">
        <v>34000</v>
      </c>
    </row>
    <row r="178" spans="1:7">
      <c r="A178" t="s">
        <v>430</v>
      </c>
      <c r="B178" t="s">
        <v>404</v>
      </c>
      <c r="C178" t="s">
        <v>428</v>
      </c>
      <c r="D178" t="s">
        <v>429</v>
      </c>
      <c r="E178" t="s">
        <v>824</v>
      </c>
      <c r="F178">
        <v>20000</v>
      </c>
      <c r="G178">
        <v>34000</v>
      </c>
    </row>
    <row r="179" spans="1:7">
      <c r="A179" t="s">
        <v>433</v>
      </c>
      <c r="B179" t="s">
        <v>404</v>
      </c>
      <c r="C179" t="s">
        <v>431</v>
      </c>
      <c r="D179" t="s">
        <v>432</v>
      </c>
      <c r="E179" t="s">
        <v>824</v>
      </c>
      <c r="F179">
        <v>20000</v>
      </c>
      <c r="G179">
        <v>30000</v>
      </c>
    </row>
    <row r="180" spans="1:7">
      <c r="A180" t="s">
        <v>435</v>
      </c>
      <c r="B180" t="s">
        <v>404</v>
      </c>
      <c r="C180" t="s">
        <v>434</v>
      </c>
      <c r="D180" t="s">
        <v>423</v>
      </c>
      <c r="E180" t="s">
        <v>824</v>
      </c>
      <c r="F180">
        <v>50000</v>
      </c>
      <c r="G180">
        <v>70000</v>
      </c>
    </row>
    <row r="181" spans="1:7">
      <c r="A181" t="s">
        <v>437</v>
      </c>
      <c r="B181" t="s">
        <v>404</v>
      </c>
      <c r="C181" t="s">
        <v>436</v>
      </c>
      <c r="D181" t="s">
        <v>426</v>
      </c>
      <c r="E181" t="s">
        <v>824</v>
      </c>
      <c r="F181">
        <v>50000</v>
      </c>
      <c r="G181">
        <v>70000</v>
      </c>
    </row>
    <row r="182" spans="1:7">
      <c r="A182" t="s">
        <v>439</v>
      </c>
      <c r="B182" t="s">
        <v>404</v>
      </c>
      <c r="C182" t="s">
        <v>438</v>
      </c>
      <c r="D182" t="s">
        <v>429</v>
      </c>
      <c r="E182" t="s">
        <v>824</v>
      </c>
      <c r="F182">
        <v>50000</v>
      </c>
      <c r="G182">
        <v>70000</v>
      </c>
    </row>
    <row r="183" spans="1:7">
      <c r="A183" t="s">
        <v>441</v>
      </c>
      <c r="B183" t="s">
        <v>404</v>
      </c>
      <c r="C183" t="s">
        <v>440</v>
      </c>
      <c r="D183" t="s">
        <v>432</v>
      </c>
      <c r="E183" t="s">
        <v>824</v>
      </c>
      <c r="F183">
        <v>40000</v>
      </c>
      <c r="G183">
        <v>60000</v>
      </c>
    </row>
    <row r="184" spans="1:7">
      <c r="A184" t="s">
        <v>443</v>
      </c>
      <c r="B184" t="s">
        <v>404</v>
      </c>
      <c r="C184" t="s">
        <v>442</v>
      </c>
      <c r="D184" t="s">
        <v>406</v>
      </c>
      <c r="E184" t="s">
        <v>824</v>
      </c>
      <c r="F184">
        <v>12000</v>
      </c>
      <c r="G184">
        <v>17000</v>
      </c>
    </row>
    <row r="185" spans="1:7">
      <c r="A185" t="s">
        <v>444</v>
      </c>
      <c r="B185" t="s">
        <v>404</v>
      </c>
      <c r="C185" t="s">
        <v>442</v>
      </c>
      <c r="D185" t="s">
        <v>408</v>
      </c>
      <c r="E185" t="s">
        <v>824</v>
      </c>
      <c r="F185">
        <v>15000</v>
      </c>
      <c r="G185">
        <v>25000</v>
      </c>
    </row>
    <row r="186" spans="1:7">
      <c r="A186" t="s">
        <v>445</v>
      </c>
      <c r="B186" t="s">
        <v>404</v>
      </c>
      <c r="C186" t="s">
        <v>442</v>
      </c>
      <c r="D186" t="s">
        <v>412</v>
      </c>
      <c r="E186" t="s">
        <v>824</v>
      </c>
      <c r="F186">
        <v>20000</v>
      </c>
      <c r="G186">
        <v>30000</v>
      </c>
    </row>
    <row r="187" spans="1:7">
      <c r="A187" t="s">
        <v>447</v>
      </c>
      <c r="B187" t="s">
        <v>404</v>
      </c>
      <c r="C187" t="s">
        <v>442</v>
      </c>
      <c r="D187" t="s">
        <v>446</v>
      </c>
      <c r="E187" t="s">
        <v>824</v>
      </c>
      <c r="F187">
        <v>8000</v>
      </c>
      <c r="G187">
        <v>12000</v>
      </c>
    </row>
    <row r="188" spans="1:7">
      <c r="A188" t="s">
        <v>449</v>
      </c>
      <c r="B188" t="s">
        <v>404</v>
      </c>
      <c r="C188" t="s">
        <v>448</v>
      </c>
      <c r="D188" t="s">
        <v>415</v>
      </c>
      <c r="E188" t="s">
        <v>824</v>
      </c>
      <c r="F188">
        <v>4500</v>
      </c>
      <c r="G188">
        <v>10000</v>
      </c>
    </row>
    <row r="189" spans="1:7">
      <c r="A189" t="s">
        <v>452</v>
      </c>
      <c r="B189" t="s">
        <v>404</v>
      </c>
      <c r="C189" t="s">
        <v>450</v>
      </c>
      <c r="D189" t="s">
        <v>451</v>
      </c>
      <c r="E189" t="s">
        <v>824</v>
      </c>
      <c r="F189">
        <v>4000</v>
      </c>
      <c r="G189">
        <v>7000</v>
      </c>
    </row>
    <row r="190" spans="1:7">
      <c r="A190" t="s">
        <v>455</v>
      </c>
      <c r="B190" t="s">
        <v>404</v>
      </c>
      <c r="C190" t="s">
        <v>453</v>
      </c>
      <c r="D190" t="s">
        <v>454</v>
      </c>
      <c r="E190" t="s">
        <v>824</v>
      </c>
      <c r="F190">
        <v>3500</v>
      </c>
      <c r="G190">
        <v>7000</v>
      </c>
    </row>
    <row r="191" spans="1:7">
      <c r="A191" t="s">
        <v>458</v>
      </c>
      <c r="B191" t="s">
        <v>404</v>
      </c>
      <c r="C191" t="s">
        <v>456</v>
      </c>
      <c r="D191" t="s">
        <v>457</v>
      </c>
      <c r="E191" t="s">
        <v>824</v>
      </c>
      <c r="F191">
        <v>15000</v>
      </c>
      <c r="G191">
        <v>26700</v>
      </c>
    </row>
    <row r="192" spans="1:7">
      <c r="A192" t="s">
        <v>461</v>
      </c>
      <c r="B192" t="s">
        <v>404</v>
      </c>
      <c r="C192" t="s">
        <v>459</v>
      </c>
      <c r="D192" t="s">
        <v>460</v>
      </c>
      <c r="E192" t="s">
        <v>824</v>
      </c>
      <c r="F192">
        <v>15000</v>
      </c>
      <c r="G192">
        <v>26700</v>
      </c>
    </row>
    <row r="193" spans="1:7">
      <c r="A193" t="s">
        <v>464</v>
      </c>
      <c r="B193" t="s">
        <v>404</v>
      </c>
      <c r="C193" t="s">
        <v>462</v>
      </c>
      <c r="D193" t="s">
        <v>463</v>
      </c>
      <c r="E193" t="s">
        <v>825</v>
      </c>
      <c r="F193">
        <v>0</v>
      </c>
      <c r="G193">
        <v>6000</v>
      </c>
    </row>
    <row r="194" spans="1:7">
      <c r="A194" t="s">
        <v>466</v>
      </c>
      <c r="B194" t="s">
        <v>404</v>
      </c>
      <c r="C194" t="s">
        <v>465</v>
      </c>
      <c r="D194" t="s">
        <v>463</v>
      </c>
      <c r="E194" t="s">
        <v>825</v>
      </c>
      <c r="F194">
        <v>0</v>
      </c>
      <c r="G194">
        <v>6500</v>
      </c>
    </row>
    <row r="195" spans="1:7">
      <c r="A195" t="s">
        <v>468</v>
      </c>
      <c r="B195" t="s">
        <v>404</v>
      </c>
      <c r="C195" t="s">
        <v>467</v>
      </c>
      <c r="D195" t="s">
        <v>463</v>
      </c>
      <c r="E195" t="s">
        <v>825</v>
      </c>
      <c r="F195">
        <v>0</v>
      </c>
      <c r="G195">
        <v>6000</v>
      </c>
    </row>
    <row r="196" spans="1:7">
      <c r="A196" t="s">
        <v>470</v>
      </c>
      <c r="B196" t="s">
        <v>404</v>
      </c>
      <c r="C196" t="s">
        <v>469</v>
      </c>
      <c r="D196" t="s">
        <v>463</v>
      </c>
      <c r="E196" t="s">
        <v>825</v>
      </c>
      <c r="F196">
        <v>0</v>
      </c>
      <c r="G196">
        <v>6000</v>
      </c>
    </row>
    <row r="197" spans="1:7">
      <c r="A197" t="s">
        <v>472</v>
      </c>
      <c r="B197" t="s">
        <v>404</v>
      </c>
      <c r="C197" t="s">
        <v>471</v>
      </c>
      <c r="D197" t="s">
        <v>463</v>
      </c>
      <c r="E197" t="s">
        <v>825</v>
      </c>
      <c r="F197">
        <v>0</v>
      </c>
      <c r="G197">
        <v>6500</v>
      </c>
    </row>
    <row r="198" spans="1:7">
      <c r="A198" t="s">
        <v>474</v>
      </c>
      <c r="B198" t="s">
        <v>404</v>
      </c>
      <c r="C198" t="s">
        <v>473</v>
      </c>
      <c r="D198" t="s">
        <v>463</v>
      </c>
      <c r="E198" t="s">
        <v>825</v>
      </c>
      <c r="F198">
        <v>0</v>
      </c>
      <c r="G198">
        <v>6500</v>
      </c>
    </row>
    <row r="199" spans="1:7">
      <c r="A199" t="s">
        <v>477</v>
      </c>
      <c r="B199" t="s">
        <v>404</v>
      </c>
      <c r="C199" t="s">
        <v>475</v>
      </c>
      <c r="D199" t="s">
        <v>476</v>
      </c>
      <c r="E199" t="s">
        <v>824</v>
      </c>
      <c r="F199">
        <v>4000</v>
      </c>
      <c r="G199">
        <v>7000</v>
      </c>
    </row>
    <row r="200" spans="1:7">
      <c r="A200" t="s">
        <v>477</v>
      </c>
      <c r="B200" t="s">
        <v>404</v>
      </c>
      <c r="C200" t="s">
        <v>475</v>
      </c>
      <c r="D200" t="s">
        <v>476</v>
      </c>
      <c r="E200" t="s">
        <v>825</v>
      </c>
      <c r="F200">
        <v>4000</v>
      </c>
      <c r="G200">
        <v>3000</v>
      </c>
    </row>
    <row r="201" spans="1:7">
      <c r="A201" t="s">
        <v>480</v>
      </c>
      <c r="B201" t="s">
        <v>404</v>
      </c>
      <c r="C201" t="s">
        <v>478</v>
      </c>
      <c r="D201" t="s">
        <v>479</v>
      </c>
      <c r="E201" t="s">
        <v>824</v>
      </c>
      <c r="F201">
        <v>60000</v>
      </c>
      <c r="G201">
        <v>90000</v>
      </c>
    </row>
    <row r="202" spans="1:7">
      <c r="A202" t="s">
        <v>482</v>
      </c>
      <c r="B202" t="s">
        <v>404</v>
      </c>
      <c r="C202" t="s">
        <v>481</v>
      </c>
      <c r="D202" t="s">
        <v>479</v>
      </c>
      <c r="E202" t="s">
        <v>824</v>
      </c>
      <c r="F202">
        <v>80000</v>
      </c>
      <c r="G202">
        <v>110000</v>
      </c>
    </row>
    <row r="203" spans="1:7">
      <c r="A203" t="s">
        <v>484</v>
      </c>
      <c r="B203" t="s">
        <v>404</v>
      </c>
      <c r="C203" t="s">
        <v>483</v>
      </c>
      <c r="D203" t="s">
        <v>479</v>
      </c>
      <c r="E203" t="s">
        <v>824</v>
      </c>
      <c r="F203">
        <v>80000</v>
      </c>
      <c r="G203">
        <v>120000</v>
      </c>
    </row>
    <row r="204" spans="1:7">
      <c r="A204" t="s">
        <v>486</v>
      </c>
      <c r="B204" t="s">
        <v>404</v>
      </c>
      <c r="C204" t="s">
        <v>485</v>
      </c>
      <c r="D204" t="s">
        <v>479</v>
      </c>
      <c r="E204" t="s">
        <v>824</v>
      </c>
      <c r="F204">
        <v>30000</v>
      </c>
      <c r="G204">
        <v>60000</v>
      </c>
    </row>
    <row r="205" spans="1:7">
      <c r="A205" t="s">
        <v>488</v>
      </c>
      <c r="B205" t="s">
        <v>404</v>
      </c>
      <c r="C205" t="s">
        <v>487</v>
      </c>
      <c r="D205" t="s">
        <v>479</v>
      </c>
      <c r="E205" t="s">
        <v>824</v>
      </c>
      <c r="F205">
        <v>55000</v>
      </c>
      <c r="G205">
        <v>70000</v>
      </c>
    </row>
    <row r="206" spans="1:7">
      <c r="A206" t="s">
        <v>490</v>
      </c>
      <c r="B206" t="s">
        <v>404</v>
      </c>
      <c r="C206" t="s">
        <v>489</v>
      </c>
      <c r="D206" t="s">
        <v>479</v>
      </c>
      <c r="E206" t="s">
        <v>824</v>
      </c>
      <c r="F206">
        <v>60000</v>
      </c>
      <c r="G206">
        <v>80000</v>
      </c>
    </row>
    <row r="207" spans="1:7">
      <c r="A207" t="s">
        <v>493</v>
      </c>
      <c r="B207" t="s">
        <v>404</v>
      </c>
      <c r="C207" t="s">
        <v>491</v>
      </c>
      <c r="D207" t="s">
        <v>492</v>
      </c>
      <c r="E207" t="s">
        <v>824</v>
      </c>
      <c r="F207">
        <v>3000</v>
      </c>
      <c r="G207">
        <v>4000</v>
      </c>
    </row>
    <row r="208" spans="1:7">
      <c r="A208" t="s">
        <v>495</v>
      </c>
      <c r="B208" t="s">
        <v>404</v>
      </c>
      <c r="C208" t="s">
        <v>494</v>
      </c>
      <c r="D208" t="s">
        <v>423</v>
      </c>
      <c r="E208" t="s">
        <v>824</v>
      </c>
      <c r="F208">
        <v>4500</v>
      </c>
      <c r="G208">
        <v>14000</v>
      </c>
    </row>
    <row r="209" spans="1:7">
      <c r="A209" t="s">
        <v>497</v>
      </c>
      <c r="B209" t="s">
        <v>404</v>
      </c>
      <c r="C209" t="s">
        <v>496</v>
      </c>
      <c r="D209" t="s">
        <v>426</v>
      </c>
      <c r="E209" t="s">
        <v>824</v>
      </c>
      <c r="F209">
        <v>4500</v>
      </c>
      <c r="G209">
        <v>14000</v>
      </c>
    </row>
    <row r="210" spans="1:7">
      <c r="A210" t="s">
        <v>499</v>
      </c>
      <c r="B210" t="s">
        <v>404</v>
      </c>
      <c r="C210" t="s">
        <v>498</v>
      </c>
      <c r="D210" t="s">
        <v>429</v>
      </c>
      <c r="E210" t="s">
        <v>824</v>
      </c>
      <c r="F210">
        <v>4500</v>
      </c>
      <c r="G210">
        <v>14000</v>
      </c>
    </row>
    <row r="211" spans="1:7">
      <c r="A211" t="s">
        <v>502</v>
      </c>
      <c r="B211" t="s">
        <v>404</v>
      </c>
      <c r="C211" t="s">
        <v>500</v>
      </c>
      <c r="D211" t="s">
        <v>501</v>
      </c>
      <c r="E211" t="s">
        <v>824</v>
      </c>
      <c r="F211">
        <v>100000</v>
      </c>
      <c r="G211">
        <v>170000</v>
      </c>
    </row>
    <row r="212" spans="1:7">
      <c r="A212" t="s">
        <v>502</v>
      </c>
      <c r="B212" t="s">
        <v>404</v>
      </c>
      <c r="C212" t="s">
        <v>500</v>
      </c>
      <c r="D212" t="s">
        <v>501</v>
      </c>
      <c r="E212" t="s">
        <v>825</v>
      </c>
      <c r="F212">
        <v>100000</v>
      </c>
      <c r="G212">
        <v>78000</v>
      </c>
    </row>
    <row r="213" spans="1:7">
      <c r="A213" t="s">
        <v>505</v>
      </c>
      <c r="B213" t="s">
        <v>404</v>
      </c>
      <c r="C213" t="s">
        <v>503</v>
      </c>
      <c r="D213" t="s">
        <v>504</v>
      </c>
      <c r="E213" t="s">
        <v>825</v>
      </c>
      <c r="F213">
        <v>4500</v>
      </c>
      <c r="G213">
        <v>5000</v>
      </c>
    </row>
    <row r="214" spans="1:7">
      <c r="A214" t="s">
        <v>505</v>
      </c>
      <c r="B214" t="s">
        <v>404</v>
      </c>
      <c r="C214" t="s">
        <v>503</v>
      </c>
      <c r="D214" t="s">
        <v>504</v>
      </c>
      <c r="E214" t="s">
        <v>824</v>
      </c>
      <c r="F214">
        <v>4500</v>
      </c>
      <c r="G214">
        <v>8000</v>
      </c>
    </row>
    <row r="215" spans="1:7">
      <c r="A215" t="s">
        <v>509</v>
      </c>
      <c r="B215" t="s">
        <v>506</v>
      </c>
      <c r="C215" t="s">
        <v>507</v>
      </c>
      <c r="D215" t="s">
        <v>508</v>
      </c>
      <c r="E215" t="s">
        <v>824</v>
      </c>
      <c r="F215">
        <v>0</v>
      </c>
      <c r="G215">
        <v>50000</v>
      </c>
    </row>
    <row r="216" spans="1:7">
      <c r="A216" t="s">
        <v>512</v>
      </c>
      <c r="B216" t="s">
        <v>506</v>
      </c>
      <c r="C216" t="s">
        <v>510</v>
      </c>
      <c r="D216" t="s">
        <v>511</v>
      </c>
      <c r="E216" t="s">
        <v>824</v>
      </c>
      <c r="F216">
        <v>4500</v>
      </c>
      <c r="G216">
        <v>6500</v>
      </c>
    </row>
    <row r="217" spans="1:7">
      <c r="A217" t="s">
        <v>514</v>
      </c>
      <c r="B217" t="s">
        <v>506</v>
      </c>
      <c r="C217" t="s">
        <v>513</v>
      </c>
      <c r="D217" t="s">
        <v>511</v>
      </c>
      <c r="E217" t="s">
        <v>824</v>
      </c>
      <c r="F217">
        <v>0</v>
      </c>
      <c r="G217">
        <v>20000</v>
      </c>
    </row>
    <row r="218" spans="1:7">
      <c r="A218" t="s">
        <v>516</v>
      </c>
      <c r="B218" t="s">
        <v>506</v>
      </c>
      <c r="C218" t="s">
        <v>515</v>
      </c>
      <c r="D218" t="s">
        <v>511</v>
      </c>
      <c r="E218" t="s">
        <v>824</v>
      </c>
      <c r="F218">
        <v>2200</v>
      </c>
      <c r="G218">
        <v>2200</v>
      </c>
    </row>
    <row r="219" spans="1:7">
      <c r="A219" t="s">
        <v>516</v>
      </c>
      <c r="B219" t="s">
        <v>506</v>
      </c>
      <c r="C219" t="s">
        <v>515</v>
      </c>
      <c r="D219" t="s">
        <v>511</v>
      </c>
      <c r="E219" t="s">
        <v>825</v>
      </c>
      <c r="F219">
        <v>2200</v>
      </c>
      <c r="G219">
        <v>2200</v>
      </c>
    </row>
    <row r="220" spans="1:7">
      <c r="A220" t="s">
        <v>518</v>
      </c>
      <c r="B220" t="s">
        <v>506</v>
      </c>
      <c r="C220" t="s">
        <v>517</v>
      </c>
      <c r="D220" t="s">
        <v>511</v>
      </c>
      <c r="E220" t="s">
        <v>824</v>
      </c>
      <c r="F220">
        <v>2600</v>
      </c>
      <c r="G220">
        <v>5000</v>
      </c>
    </row>
    <row r="221" spans="1:7">
      <c r="A221" t="s">
        <v>518</v>
      </c>
      <c r="B221" t="s">
        <v>506</v>
      </c>
      <c r="C221" t="s">
        <v>517</v>
      </c>
      <c r="D221" t="s">
        <v>511</v>
      </c>
      <c r="E221" t="s">
        <v>825</v>
      </c>
      <c r="F221">
        <v>2600</v>
      </c>
      <c r="G221">
        <v>2600</v>
      </c>
    </row>
    <row r="222" spans="1:7">
      <c r="A222" t="s">
        <v>520</v>
      </c>
      <c r="B222" t="s">
        <v>506</v>
      </c>
      <c r="C222" t="s">
        <v>519</v>
      </c>
      <c r="D222" t="s">
        <v>511</v>
      </c>
      <c r="E222" t="s">
        <v>824</v>
      </c>
      <c r="F222">
        <v>1040</v>
      </c>
      <c r="G222">
        <v>2200</v>
      </c>
    </row>
    <row r="223" spans="1:7">
      <c r="A223" t="s">
        <v>520</v>
      </c>
      <c r="B223" t="s">
        <v>506</v>
      </c>
      <c r="C223" t="s">
        <v>519</v>
      </c>
      <c r="D223" t="s">
        <v>511</v>
      </c>
      <c r="E223" t="s">
        <v>825</v>
      </c>
      <c r="F223">
        <v>1040</v>
      </c>
      <c r="G223">
        <v>1040</v>
      </c>
    </row>
    <row r="224" spans="1:7">
      <c r="A224" t="s">
        <v>522</v>
      </c>
      <c r="B224" t="s">
        <v>506</v>
      </c>
      <c r="C224" t="s">
        <v>521</v>
      </c>
      <c r="D224" t="s">
        <v>511</v>
      </c>
      <c r="E224" t="s">
        <v>824</v>
      </c>
      <c r="F224">
        <v>2600</v>
      </c>
      <c r="G224">
        <v>10000</v>
      </c>
    </row>
    <row r="225" spans="1:7">
      <c r="A225" t="s">
        <v>522</v>
      </c>
      <c r="B225" t="s">
        <v>506</v>
      </c>
      <c r="C225" t="s">
        <v>521</v>
      </c>
      <c r="D225" t="s">
        <v>511</v>
      </c>
      <c r="E225" t="s">
        <v>825</v>
      </c>
      <c r="F225">
        <v>2600</v>
      </c>
      <c r="G225">
        <v>2600</v>
      </c>
    </row>
    <row r="226" spans="1:7">
      <c r="A226" t="s">
        <v>524</v>
      </c>
      <c r="B226" t="s">
        <v>506</v>
      </c>
      <c r="C226" t="s">
        <v>523</v>
      </c>
      <c r="D226" t="s">
        <v>511</v>
      </c>
      <c r="E226" t="s">
        <v>824</v>
      </c>
      <c r="F226">
        <v>1560</v>
      </c>
      <c r="G226">
        <v>2200</v>
      </c>
    </row>
    <row r="227" spans="1:7">
      <c r="A227" t="s">
        <v>524</v>
      </c>
      <c r="B227" t="s">
        <v>506</v>
      </c>
      <c r="C227" t="s">
        <v>523</v>
      </c>
      <c r="D227" t="s">
        <v>511</v>
      </c>
      <c r="E227" t="s">
        <v>825</v>
      </c>
      <c r="F227">
        <v>1560</v>
      </c>
      <c r="G227">
        <v>1560</v>
      </c>
    </row>
    <row r="228" spans="1:7">
      <c r="A228" t="s">
        <v>526</v>
      </c>
      <c r="B228" t="s">
        <v>506</v>
      </c>
      <c r="C228" t="s">
        <v>525</v>
      </c>
      <c r="D228" t="s">
        <v>511</v>
      </c>
      <c r="E228" t="s">
        <v>825</v>
      </c>
      <c r="F228">
        <v>1040</v>
      </c>
      <c r="G228">
        <v>1040</v>
      </c>
    </row>
    <row r="229" spans="1:7">
      <c r="A229" t="s">
        <v>526</v>
      </c>
      <c r="B229" t="s">
        <v>506</v>
      </c>
      <c r="C229" t="s">
        <v>525</v>
      </c>
      <c r="D229" t="s">
        <v>511</v>
      </c>
      <c r="E229" t="s">
        <v>824</v>
      </c>
      <c r="F229">
        <v>1040</v>
      </c>
      <c r="G229">
        <v>5000</v>
      </c>
    </row>
    <row r="230" spans="1:7">
      <c r="A230" t="s">
        <v>528</v>
      </c>
      <c r="B230" t="s">
        <v>506</v>
      </c>
      <c r="C230" t="s">
        <v>527</v>
      </c>
      <c r="D230" t="s">
        <v>511</v>
      </c>
      <c r="E230" t="s">
        <v>825</v>
      </c>
      <c r="F230">
        <v>2200</v>
      </c>
      <c r="G230">
        <v>2200</v>
      </c>
    </row>
    <row r="231" spans="1:7">
      <c r="A231" t="s">
        <v>528</v>
      </c>
      <c r="B231" t="s">
        <v>506</v>
      </c>
      <c r="C231" t="s">
        <v>527</v>
      </c>
      <c r="D231" t="s">
        <v>511</v>
      </c>
      <c r="E231" t="s">
        <v>824</v>
      </c>
      <c r="F231">
        <v>2200</v>
      </c>
      <c r="G231">
        <v>2200</v>
      </c>
    </row>
    <row r="232" spans="1:7">
      <c r="A232" t="s">
        <v>530</v>
      </c>
      <c r="B232" t="s">
        <v>506</v>
      </c>
      <c r="C232" t="s">
        <v>529</v>
      </c>
      <c r="D232" t="s">
        <v>508</v>
      </c>
      <c r="E232" t="s">
        <v>824</v>
      </c>
      <c r="F232">
        <v>0</v>
      </c>
      <c r="G232">
        <v>3500</v>
      </c>
    </row>
    <row r="233" spans="1:7">
      <c r="A233" t="s">
        <v>532</v>
      </c>
      <c r="B233" t="s">
        <v>506</v>
      </c>
      <c r="C233" t="s">
        <v>531</v>
      </c>
      <c r="D233" t="s">
        <v>508</v>
      </c>
      <c r="E233" t="s">
        <v>824</v>
      </c>
      <c r="F233">
        <v>0</v>
      </c>
      <c r="G233">
        <v>8000</v>
      </c>
    </row>
    <row r="234" spans="1:7">
      <c r="A234" t="s">
        <v>534</v>
      </c>
      <c r="B234" t="s">
        <v>506</v>
      </c>
      <c r="C234" t="s">
        <v>533</v>
      </c>
      <c r="D234" t="s">
        <v>508</v>
      </c>
      <c r="E234" t="s">
        <v>824</v>
      </c>
      <c r="F234">
        <v>0</v>
      </c>
      <c r="G234">
        <v>3500</v>
      </c>
    </row>
    <row r="235" spans="1:7">
      <c r="A235" t="s">
        <v>536</v>
      </c>
      <c r="B235" t="s">
        <v>506</v>
      </c>
      <c r="C235" t="s">
        <v>535</v>
      </c>
      <c r="D235" t="s">
        <v>508</v>
      </c>
      <c r="E235" t="s">
        <v>824</v>
      </c>
      <c r="F235">
        <v>0</v>
      </c>
      <c r="G235">
        <v>20000</v>
      </c>
    </row>
    <row r="236" spans="1:7">
      <c r="A236" t="s">
        <v>538</v>
      </c>
      <c r="B236" t="s">
        <v>506</v>
      </c>
      <c r="C236" t="s">
        <v>537</v>
      </c>
      <c r="D236" t="s">
        <v>508</v>
      </c>
      <c r="E236" t="s">
        <v>824</v>
      </c>
      <c r="F236">
        <v>0</v>
      </c>
      <c r="G236">
        <v>3000</v>
      </c>
    </row>
    <row r="237" spans="1:7">
      <c r="A237" t="s">
        <v>540</v>
      </c>
      <c r="B237" t="s">
        <v>506</v>
      </c>
      <c r="C237" t="s">
        <v>539</v>
      </c>
      <c r="D237" t="s">
        <v>508</v>
      </c>
      <c r="E237" t="s">
        <v>824</v>
      </c>
      <c r="F237">
        <v>0</v>
      </c>
      <c r="G237">
        <v>5500</v>
      </c>
    </row>
    <row r="238" spans="1:7">
      <c r="A238" t="s">
        <v>542</v>
      </c>
      <c r="B238" t="s">
        <v>506</v>
      </c>
      <c r="C238" t="s">
        <v>541</v>
      </c>
      <c r="D238" t="s">
        <v>508</v>
      </c>
      <c r="E238" t="s">
        <v>824</v>
      </c>
      <c r="F238">
        <v>0</v>
      </c>
      <c r="G238">
        <v>5500</v>
      </c>
    </row>
    <row r="239" spans="1:7">
      <c r="A239" t="s">
        <v>545</v>
      </c>
      <c r="B239" t="s">
        <v>506</v>
      </c>
      <c r="C239" t="s">
        <v>543</v>
      </c>
      <c r="D239" t="s">
        <v>544</v>
      </c>
      <c r="E239" t="s">
        <v>824</v>
      </c>
      <c r="F239">
        <v>3120</v>
      </c>
      <c r="G239">
        <v>10000</v>
      </c>
    </row>
    <row r="240" spans="1:7">
      <c r="A240" t="s">
        <v>545</v>
      </c>
      <c r="B240" t="s">
        <v>506</v>
      </c>
      <c r="C240" t="s">
        <v>543</v>
      </c>
      <c r="D240" t="s">
        <v>544</v>
      </c>
      <c r="E240" t="s">
        <v>825</v>
      </c>
      <c r="F240">
        <v>3120</v>
      </c>
      <c r="G240">
        <v>3120</v>
      </c>
    </row>
    <row r="241" spans="1:7">
      <c r="A241" t="s">
        <v>547</v>
      </c>
      <c r="B241" t="s">
        <v>506</v>
      </c>
      <c r="C241" t="s">
        <v>546</v>
      </c>
      <c r="D241" t="s">
        <v>544</v>
      </c>
      <c r="E241" t="s">
        <v>825</v>
      </c>
      <c r="F241">
        <v>0</v>
      </c>
      <c r="G241">
        <v>8320</v>
      </c>
    </row>
    <row r="242" spans="1:7">
      <c r="A242" t="s">
        <v>547</v>
      </c>
      <c r="B242" t="s">
        <v>506</v>
      </c>
      <c r="C242" t="s">
        <v>546</v>
      </c>
      <c r="D242" t="s">
        <v>544</v>
      </c>
      <c r="E242" t="s">
        <v>824</v>
      </c>
      <c r="F242">
        <v>0</v>
      </c>
      <c r="G242">
        <v>10000</v>
      </c>
    </row>
    <row r="243" spans="1:7">
      <c r="A243" t="s">
        <v>549</v>
      </c>
      <c r="B243" t="s">
        <v>506</v>
      </c>
      <c r="C243" t="s">
        <v>548</v>
      </c>
      <c r="D243" t="s">
        <v>544</v>
      </c>
      <c r="E243" t="s">
        <v>825</v>
      </c>
      <c r="F243">
        <v>4680</v>
      </c>
      <c r="G243">
        <v>4680</v>
      </c>
    </row>
    <row r="244" spans="1:7">
      <c r="A244" t="s">
        <v>549</v>
      </c>
      <c r="B244" t="s">
        <v>506</v>
      </c>
      <c r="C244" t="s">
        <v>548</v>
      </c>
      <c r="D244" t="s">
        <v>544</v>
      </c>
      <c r="E244" t="s">
        <v>824</v>
      </c>
      <c r="F244">
        <v>4680</v>
      </c>
      <c r="G244">
        <v>10000</v>
      </c>
    </row>
    <row r="245" spans="1:7">
      <c r="A245" t="s">
        <v>551</v>
      </c>
      <c r="B245" t="s">
        <v>506</v>
      </c>
      <c r="C245" t="s">
        <v>550</v>
      </c>
      <c r="D245" t="s">
        <v>544</v>
      </c>
      <c r="E245" t="s">
        <v>824</v>
      </c>
      <c r="F245">
        <v>5200</v>
      </c>
      <c r="G245">
        <v>10000</v>
      </c>
    </row>
    <row r="246" spans="1:7">
      <c r="A246" t="s">
        <v>551</v>
      </c>
      <c r="B246" t="s">
        <v>506</v>
      </c>
      <c r="C246" t="s">
        <v>550</v>
      </c>
      <c r="D246" t="s">
        <v>544</v>
      </c>
      <c r="E246" t="s">
        <v>825</v>
      </c>
      <c r="F246">
        <v>5200</v>
      </c>
      <c r="G246">
        <v>5200</v>
      </c>
    </row>
    <row r="247" spans="1:7">
      <c r="A247" t="s">
        <v>553</v>
      </c>
      <c r="B247" t="s">
        <v>506</v>
      </c>
      <c r="C247" t="s">
        <v>552</v>
      </c>
      <c r="D247" t="s">
        <v>544</v>
      </c>
      <c r="E247" t="s">
        <v>824</v>
      </c>
      <c r="F247">
        <v>8000</v>
      </c>
      <c r="G247">
        <v>10000</v>
      </c>
    </row>
    <row r="248" spans="1:7">
      <c r="A248" t="s">
        <v>553</v>
      </c>
      <c r="B248" t="s">
        <v>506</v>
      </c>
      <c r="C248" t="s">
        <v>552</v>
      </c>
      <c r="D248" t="s">
        <v>544</v>
      </c>
      <c r="E248" t="s">
        <v>825</v>
      </c>
      <c r="F248">
        <v>8000</v>
      </c>
      <c r="G248">
        <v>8320</v>
      </c>
    </row>
    <row r="249" spans="1:7">
      <c r="A249" t="s">
        <v>555</v>
      </c>
      <c r="B249" t="s">
        <v>506</v>
      </c>
      <c r="C249" t="s">
        <v>554</v>
      </c>
      <c r="D249" t="s">
        <v>544</v>
      </c>
      <c r="E249" t="s">
        <v>824</v>
      </c>
      <c r="F249">
        <v>5200</v>
      </c>
      <c r="G249">
        <v>10000</v>
      </c>
    </row>
    <row r="250" spans="1:7">
      <c r="A250" t="s">
        <v>555</v>
      </c>
      <c r="B250" t="s">
        <v>506</v>
      </c>
      <c r="C250" t="s">
        <v>554</v>
      </c>
      <c r="D250" t="s">
        <v>544</v>
      </c>
      <c r="E250" t="s">
        <v>825</v>
      </c>
      <c r="F250">
        <v>5200</v>
      </c>
      <c r="G250">
        <v>5200</v>
      </c>
    </row>
    <row r="251" spans="1:7">
      <c r="A251" t="s">
        <v>557</v>
      </c>
      <c r="B251" t="s">
        <v>506</v>
      </c>
      <c r="C251" t="s">
        <v>556</v>
      </c>
      <c r="D251" t="s">
        <v>544</v>
      </c>
      <c r="E251" t="s">
        <v>824</v>
      </c>
      <c r="F251">
        <v>5000</v>
      </c>
      <c r="G251">
        <v>10000</v>
      </c>
    </row>
    <row r="252" spans="1:7">
      <c r="A252" t="s">
        <v>557</v>
      </c>
      <c r="B252" t="s">
        <v>506</v>
      </c>
      <c r="C252" t="s">
        <v>556</v>
      </c>
      <c r="D252" t="s">
        <v>544</v>
      </c>
      <c r="E252" t="s">
        <v>825</v>
      </c>
      <c r="F252">
        <v>5000</v>
      </c>
      <c r="G252">
        <v>5000</v>
      </c>
    </row>
    <row r="253" spans="1:7">
      <c r="A253" t="s">
        <v>559</v>
      </c>
      <c r="B253" t="s">
        <v>506</v>
      </c>
      <c r="C253" t="s">
        <v>558</v>
      </c>
      <c r="D253" t="s">
        <v>511</v>
      </c>
      <c r="E253" t="s">
        <v>824</v>
      </c>
      <c r="F253">
        <v>0</v>
      </c>
      <c r="G253">
        <v>6500</v>
      </c>
    </row>
    <row r="254" spans="1:7">
      <c r="A254" t="s">
        <v>562</v>
      </c>
      <c r="B254" t="s">
        <v>506</v>
      </c>
      <c r="C254" t="s">
        <v>560</v>
      </c>
      <c r="D254" t="s">
        <v>561</v>
      </c>
      <c r="E254" t="s">
        <v>824</v>
      </c>
      <c r="F254">
        <v>0</v>
      </c>
      <c r="G254">
        <v>10</v>
      </c>
    </row>
    <row r="255" spans="1:7">
      <c r="A255" t="s">
        <v>564</v>
      </c>
      <c r="B255" t="s">
        <v>506</v>
      </c>
      <c r="C255" t="s">
        <v>563</v>
      </c>
      <c r="D255" t="s">
        <v>429</v>
      </c>
      <c r="E255" t="s">
        <v>824</v>
      </c>
      <c r="F255">
        <v>0</v>
      </c>
      <c r="G255">
        <v>15000</v>
      </c>
    </row>
    <row r="256" spans="1:7">
      <c r="A256" t="s">
        <v>567</v>
      </c>
      <c r="B256" t="s">
        <v>506</v>
      </c>
      <c r="C256" t="s">
        <v>565</v>
      </c>
      <c r="D256" t="s">
        <v>566</v>
      </c>
      <c r="E256" t="s">
        <v>824</v>
      </c>
      <c r="F256">
        <v>0</v>
      </c>
      <c r="G256">
        <v>1700</v>
      </c>
    </row>
    <row r="257" spans="1:7">
      <c r="A257" t="s">
        <v>569</v>
      </c>
      <c r="B257" t="s">
        <v>506</v>
      </c>
      <c r="C257" t="s">
        <v>565</v>
      </c>
      <c r="D257" t="s">
        <v>568</v>
      </c>
      <c r="E257" t="s">
        <v>824</v>
      </c>
      <c r="F257">
        <v>0</v>
      </c>
      <c r="G257">
        <v>2500</v>
      </c>
    </row>
    <row r="258" spans="1:7">
      <c r="A258" t="s">
        <v>571</v>
      </c>
      <c r="B258" t="s">
        <v>506</v>
      </c>
      <c r="C258" t="s">
        <v>565</v>
      </c>
      <c r="D258" t="s">
        <v>570</v>
      </c>
      <c r="E258" t="s">
        <v>824</v>
      </c>
      <c r="F258">
        <v>0</v>
      </c>
      <c r="G258">
        <v>1500</v>
      </c>
    </row>
    <row r="259" spans="1:7">
      <c r="A259" t="s">
        <v>573</v>
      </c>
      <c r="B259" t="s">
        <v>506</v>
      </c>
      <c r="C259" t="s">
        <v>565</v>
      </c>
      <c r="D259" t="s">
        <v>572</v>
      </c>
      <c r="E259" t="s">
        <v>824</v>
      </c>
      <c r="F259">
        <v>0</v>
      </c>
      <c r="G259">
        <v>2300</v>
      </c>
    </row>
    <row r="260" spans="1:7">
      <c r="A260" t="s">
        <v>576</v>
      </c>
      <c r="B260" t="s">
        <v>506</v>
      </c>
      <c r="C260" t="s">
        <v>574</v>
      </c>
      <c r="D260" t="s">
        <v>575</v>
      </c>
      <c r="E260" t="s">
        <v>824</v>
      </c>
      <c r="F260">
        <v>1000</v>
      </c>
      <c r="G260">
        <v>2000</v>
      </c>
    </row>
    <row r="261" spans="1:7">
      <c r="A261" t="s">
        <v>579</v>
      </c>
      <c r="B261" t="s">
        <v>506</v>
      </c>
      <c r="C261" t="s">
        <v>577</v>
      </c>
      <c r="D261" t="s">
        <v>578</v>
      </c>
      <c r="E261" t="s">
        <v>824</v>
      </c>
      <c r="F261">
        <v>0</v>
      </c>
      <c r="G261">
        <v>1800</v>
      </c>
    </row>
    <row r="262" spans="1:7">
      <c r="A262" t="s">
        <v>582</v>
      </c>
      <c r="B262" t="s">
        <v>506</v>
      </c>
      <c r="C262" t="s">
        <v>580</v>
      </c>
      <c r="D262" t="s">
        <v>581</v>
      </c>
      <c r="E262" t="s">
        <v>824</v>
      </c>
      <c r="F262">
        <v>0</v>
      </c>
      <c r="G262">
        <v>1000</v>
      </c>
    </row>
    <row r="263" spans="1:7">
      <c r="A263" t="s">
        <v>585</v>
      </c>
      <c r="B263" t="s">
        <v>506</v>
      </c>
      <c r="C263" t="s">
        <v>583</v>
      </c>
      <c r="D263" t="s">
        <v>584</v>
      </c>
      <c r="E263" t="s">
        <v>824</v>
      </c>
      <c r="F263">
        <v>2000</v>
      </c>
      <c r="G263">
        <v>2000</v>
      </c>
    </row>
    <row r="264" spans="1:7">
      <c r="A264" t="s">
        <v>585</v>
      </c>
      <c r="B264" t="s">
        <v>506</v>
      </c>
      <c r="C264" t="s">
        <v>583</v>
      </c>
      <c r="D264" t="s">
        <v>584</v>
      </c>
      <c r="E264" t="s">
        <v>825</v>
      </c>
      <c r="F264">
        <v>2000</v>
      </c>
      <c r="G264">
        <v>500</v>
      </c>
    </row>
    <row r="265" spans="1:7">
      <c r="A265" t="s">
        <v>588</v>
      </c>
      <c r="B265" t="s">
        <v>506</v>
      </c>
      <c r="C265" t="s">
        <v>586</v>
      </c>
      <c r="D265" t="s">
        <v>587</v>
      </c>
      <c r="E265" t="s">
        <v>824</v>
      </c>
      <c r="F265">
        <v>2500</v>
      </c>
      <c r="G265">
        <v>2500</v>
      </c>
    </row>
    <row r="266" spans="1:7">
      <c r="A266" t="s">
        <v>588</v>
      </c>
      <c r="B266" t="s">
        <v>506</v>
      </c>
      <c r="C266" t="s">
        <v>586</v>
      </c>
      <c r="D266" t="s">
        <v>587</v>
      </c>
      <c r="E266" t="s">
        <v>825</v>
      </c>
      <c r="F266">
        <v>2500</v>
      </c>
      <c r="G266">
        <v>2200</v>
      </c>
    </row>
    <row r="267" spans="1:7">
      <c r="A267" t="s">
        <v>591</v>
      </c>
      <c r="B267" t="s">
        <v>506</v>
      </c>
      <c r="C267" t="s">
        <v>589</v>
      </c>
      <c r="D267" t="s">
        <v>590</v>
      </c>
      <c r="E267" t="s">
        <v>825</v>
      </c>
      <c r="F267">
        <v>1700</v>
      </c>
      <c r="G267">
        <v>1500</v>
      </c>
    </row>
    <row r="268" spans="1:7">
      <c r="A268" t="s">
        <v>591</v>
      </c>
      <c r="B268" t="s">
        <v>506</v>
      </c>
      <c r="C268" t="s">
        <v>589</v>
      </c>
      <c r="D268" t="s">
        <v>590</v>
      </c>
      <c r="E268" t="s">
        <v>824</v>
      </c>
      <c r="F268">
        <v>1700</v>
      </c>
      <c r="G268">
        <v>1700</v>
      </c>
    </row>
    <row r="269" spans="1:7">
      <c r="A269" t="s">
        <v>593</v>
      </c>
      <c r="B269" t="s">
        <v>506</v>
      </c>
      <c r="C269" t="s">
        <v>592</v>
      </c>
      <c r="E269" t="s">
        <v>824</v>
      </c>
      <c r="F269">
        <v>1000</v>
      </c>
      <c r="G269">
        <v>1500</v>
      </c>
    </row>
    <row r="270" spans="1:7">
      <c r="A270" t="s">
        <v>596</v>
      </c>
      <c r="B270" t="s">
        <v>506</v>
      </c>
      <c r="C270" t="s">
        <v>594</v>
      </c>
      <c r="D270" t="s">
        <v>595</v>
      </c>
      <c r="E270" t="s">
        <v>825</v>
      </c>
      <c r="F270">
        <v>1000</v>
      </c>
      <c r="G270">
        <v>1000</v>
      </c>
    </row>
    <row r="271" spans="1:7">
      <c r="A271" t="s">
        <v>596</v>
      </c>
      <c r="B271" t="s">
        <v>506</v>
      </c>
      <c r="C271" t="s">
        <v>594</v>
      </c>
      <c r="D271" t="s">
        <v>595</v>
      </c>
      <c r="E271" t="s">
        <v>824</v>
      </c>
      <c r="F271">
        <v>1000</v>
      </c>
      <c r="G271">
        <v>1000</v>
      </c>
    </row>
    <row r="272" spans="1:7">
      <c r="A272" t="s">
        <v>599</v>
      </c>
      <c r="B272" t="s">
        <v>506</v>
      </c>
      <c r="C272" t="s">
        <v>597</v>
      </c>
      <c r="D272" t="s">
        <v>598</v>
      </c>
      <c r="E272" t="s">
        <v>825</v>
      </c>
      <c r="F272">
        <v>1700</v>
      </c>
      <c r="G272">
        <v>1700</v>
      </c>
    </row>
    <row r="273" spans="1:7">
      <c r="A273" t="s">
        <v>599</v>
      </c>
      <c r="B273" t="s">
        <v>506</v>
      </c>
      <c r="C273" t="s">
        <v>597</v>
      </c>
      <c r="D273" t="s">
        <v>598</v>
      </c>
      <c r="E273" t="s">
        <v>824</v>
      </c>
      <c r="F273">
        <v>1700</v>
      </c>
      <c r="G273">
        <v>1700</v>
      </c>
    </row>
    <row r="274" spans="1:7">
      <c r="A274" t="s">
        <v>602</v>
      </c>
      <c r="B274" t="s">
        <v>506</v>
      </c>
      <c r="C274" t="s">
        <v>600</v>
      </c>
      <c r="D274" t="s">
        <v>601</v>
      </c>
      <c r="E274" t="s">
        <v>825</v>
      </c>
      <c r="F274">
        <v>2350</v>
      </c>
      <c r="G274">
        <v>1700</v>
      </c>
    </row>
    <row r="275" spans="1:7">
      <c r="A275" t="s">
        <v>602</v>
      </c>
      <c r="B275" t="s">
        <v>506</v>
      </c>
      <c r="C275" t="s">
        <v>600</v>
      </c>
      <c r="D275" t="s">
        <v>601</v>
      </c>
      <c r="E275" t="s">
        <v>824</v>
      </c>
      <c r="F275">
        <v>2350</v>
      </c>
      <c r="G275">
        <v>2350</v>
      </c>
    </row>
    <row r="276" spans="1:7">
      <c r="A276" t="s">
        <v>604</v>
      </c>
      <c r="B276" t="s">
        <v>506</v>
      </c>
      <c r="C276" t="s">
        <v>603</v>
      </c>
      <c r="D276" t="s">
        <v>511</v>
      </c>
      <c r="E276" t="s">
        <v>825</v>
      </c>
      <c r="F276">
        <v>0</v>
      </c>
      <c r="G276">
        <v>10000</v>
      </c>
    </row>
    <row r="277" spans="1:7">
      <c r="A277" t="s">
        <v>606</v>
      </c>
      <c r="B277" t="s">
        <v>506</v>
      </c>
      <c r="C277" t="s">
        <v>605</v>
      </c>
      <c r="D277" t="s">
        <v>511</v>
      </c>
      <c r="E277" t="s">
        <v>825</v>
      </c>
      <c r="F277">
        <v>0</v>
      </c>
      <c r="G277">
        <v>7500</v>
      </c>
    </row>
    <row r="278" spans="1:7">
      <c r="A278" t="s">
        <v>608</v>
      </c>
      <c r="B278" t="s">
        <v>506</v>
      </c>
      <c r="C278" t="s">
        <v>607</v>
      </c>
      <c r="D278" t="s">
        <v>511</v>
      </c>
      <c r="E278" t="s">
        <v>825</v>
      </c>
      <c r="F278">
        <v>0</v>
      </c>
      <c r="G278">
        <v>10000</v>
      </c>
    </row>
    <row r="279" spans="1:7">
      <c r="A279" t="s">
        <v>610</v>
      </c>
      <c r="B279" t="s">
        <v>506</v>
      </c>
      <c r="C279" t="s">
        <v>609</v>
      </c>
      <c r="D279" t="s">
        <v>511</v>
      </c>
      <c r="E279" t="s">
        <v>825</v>
      </c>
      <c r="F279">
        <v>0</v>
      </c>
      <c r="G279">
        <v>6500</v>
      </c>
    </row>
    <row r="280" spans="1:7">
      <c r="A280" t="s">
        <v>612</v>
      </c>
      <c r="B280" t="s">
        <v>506</v>
      </c>
      <c r="C280" t="s">
        <v>611</v>
      </c>
      <c r="D280" t="s">
        <v>511</v>
      </c>
      <c r="E280" t="s">
        <v>825</v>
      </c>
      <c r="F280">
        <v>0</v>
      </c>
      <c r="G280">
        <v>8500</v>
      </c>
    </row>
    <row r="281" spans="1:7">
      <c r="A281" t="s">
        <v>614</v>
      </c>
      <c r="B281" t="s">
        <v>506</v>
      </c>
      <c r="C281" t="s">
        <v>613</v>
      </c>
      <c r="D281" t="s">
        <v>511</v>
      </c>
      <c r="E281" t="s">
        <v>825</v>
      </c>
      <c r="F281">
        <v>0</v>
      </c>
      <c r="G281">
        <v>7500</v>
      </c>
    </row>
    <row r="282" spans="1:7">
      <c r="A282" t="s">
        <v>616</v>
      </c>
      <c r="B282" t="s">
        <v>506</v>
      </c>
      <c r="C282" t="s">
        <v>615</v>
      </c>
      <c r="D282" t="s">
        <v>511</v>
      </c>
      <c r="E282" t="s">
        <v>825</v>
      </c>
      <c r="F282">
        <v>0</v>
      </c>
      <c r="G282">
        <v>6000</v>
      </c>
    </row>
    <row r="283" spans="1:7">
      <c r="A283" t="s">
        <v>619</v>
      </c>
      <c r="B283" t="s">
        <v>506</v>
      </c>
      <c r="C283" t="s">
        <v>617</v>
      </c>
      <c r="D283" t="s">
        <v>618</v>
      </c>
      <c r="E283" t="s">
        <v>824</v>
      </c>
      <c r="F283">
        <v>0</v>
      </c>
      <c r="G283">
        <v>15000</v>
      </c>
    </row>
    <row r="284" spans="1:7">
      <c r="A284" t="s">
        <v>621</v>
      </c>
      <c r="B284" t="s">
        <v>506</v>
      </c>
      <c r="C284" t="s">
        <v>620</v>
      </c>
      <c r="D284" t="s">
        <v>618</v>
      </c>
      <c r="E284" t="s">
        <v>824</v>
      </c>
      <c r="F284">
        <v>0</v>
      </c>
      <c r="G284">
        <v>7500</v>
      </c>
    </row>
    <row r="285" spans="1:7">
      <c r="A285" t="s">
        <v>623</v>
      </c>
      <c r="B285" t="s">
        <v>506</v>
      </c>
      <c r="C285" t="s">
        <v>622</v>
      </c>
      <c r="D285" t="s">
        <v>618</v>
      </c>
      <c r="E285" t="s">
        <v>824</v>
      </c>
      <c r="F285">
        <v>0</v>
      </c>
      <c r="G285">
        <v>20000</v>
      </c>
    </row>
    <row r="286" spans="1:7">
      <c r="A286" t="s">
        <v>625</v>
      </c>
      <c r="B286" t="s">
        <v>506</v>
      </c>
      <c r="C286" t="s">
        <v>624</v>
      </c>
      <c r="D286" t="s">
        <v>618</v>
      </c>
      <c r="E286" t="s">
        <v>824</v>
      </c>
      <c r="F286">
        <v>7500</v>
      </c>
      <c r="G286">
        <v>7500</v>
      </c>
    </row>
    <row r="287" spans="1:7">
      <c r="A287" t="s">
        <v>627</v>
      </c>
      <c r="B287" t="s">
        <v>506</v>
      </c>
      <c r="C287" t="s">
        <v>626</v>
      </c>
      <c r="D287" t="s">
        <v>618</v>
      </c>
      <c r="E287" t="s">
        <v>824</v>
      </c>
      <c r="F287">
        <v>7500</v>
      </c>
      <c r="G287">
        <v>10000</v>
      </c>
    </row>
    <row r="288" spans="1:7">
      <c r="A288" t="s">
        <v>629</v>
      </c>
      <c r="B288" t="s">
        <v>506</v>
      </c>
      <c r="C288" t="s">
        <v>628</v>
      </c>
      <c r="D288" t="s">
        <v>618</v>
      </c>
      <c r="E288" t="s">
        <v>824</v>
      </c>
      <c r="F288">
        <v>7500</v>
      </c>
      <c r="G288">
        <v>10000</v>
      </c>
    </row>
    <row r="289" spans="1:7">
      <c r="A289" t="s">
        <v>631</v>
      </c>
      <c r="B289" t="s">
        <v>506</v>
      </c>
      <c r="C289" t="s">
        <v>630</v>
      </c>
      <c r="D289" t="s">
        <v>618</v>
      </c>
      <c r="E289" t="s">
        <v>824</v>
      </c>
      <c r="F289">
        <v>0</v>
      </c>
      <c r="G289">
        <v>10000</v>
      </c>
    </row>
    <row r="290" spans="1:7">
      <c r="A290" t="s">
        <v>635</v>
      </c>
      <c r="B290" t="s">
        <v>632</v>
      </c>
      <c r="C290" t="s">
        <v>633</v>
      </c>
      <c r="D290" t="s">
        <v>634</v>
      </c>
      <c r="E290" t="s">
        <v>824</v>
      </c>
      <c r="F290">
        <v>2000</v>
      </c>
      <c r="G290">
        <v>2600</v>
      </c>
    </row>
    <row r="291" spans="1:7">
      <c r="A291" t="s">
        <v>638</v>
      </c>
      <c r="B291" t="s">
        <v>632</v>
      </c>
      <c r="C291" t="s">
        <v>636</v>
      </c>
      <c r="D291" t="s">
        <v>637</v>
      </c>
      <c r="E291" t="s">
        <v>824</v>
      </c>
      <c r="F291">
        <v>70000</v>
      </c>
      <c r="G291">
        <v>80000</v>
      </c>
    </row>
    <row r="292" spans="1:7">
      <c r="A292" t="s">
        <v>642</v>
      </c>
      <c r="B292" t="s">
        <v>639</v>
      </c>
      <c r="C292" t="s">
        <v>640</v>
      </c>
      <c r="D292" t="s">
        <v>641</v>
      </c>
      <c r="E292" t="s">
        <v>824</v>
      </c>
      <c r="F292">
        <v>1500</v>
      </c>
      <c r="G292">
        <v>2000</v>
      </c>
    </row>
    <row r="293" spans="1:7">
      <c r="A293" t="s">
        <v>645</v>
      </c>
      <c r="B293" t="s">
        <v>639</v>
      </c>
      <c r="C293" t="s">
        <v>643</v>
      </c>
      <c r="D293" t="s">
        <v>644</v>
      </c>
      <c r="E293" t="s">
        <v>824</v>
      </c>
      <c r="F293">
        <v>2000</v>
      </c>
      <c r="G293">
        <v>5000</v>
      </c>
    </row>
    <row r="294" spans="1:7">
      <c r="A294" t="s">
        <v>648</v>
      </c>
      <c r="B294" t="s">
        <v>639</v>
      </c>
      <c r="C294" t="s">
        <v>646</v>
      </c>
      <c r="D294" t="s">
        <v>647</v>
      </c>
      <c r="E294" t="s">
        <v>825</v>
      </c>
      <c r="F294">
        <v>1000</v>
      </c>
      <c r="G294">
        <v>1500</v>
      </c>
    </row>
    <row r="295" spans="1:7">
      <c r="A295" t="s">
        <v>648</v>
      </c>
      <c r="B295" t="s">
        <v>639</v>
      </c>
      <c r="C295" t="s">
        <v>646</v>
      </c>
      <c r="D295" t="s">
        <v>647</v>
      </c>
      <c r="E295" t="s">
        <v>824</v>
      </c>
      <c r="F295">
        <v>1000</v>
      </c>
      <c r="G295">
        <v>2000</v>
      </c>
    </row>
    <row r="296" spans="1:7">
      <c r="A296" t="s">
        <v>651</v>
      </c>
      <c r="B296" t="s">
        <v>639</v>
      </c>
      <c r="C296" t="s">
        <v>649</v>
      </c>
      <c r="D296" t="s">
        <v>650</v>
      </c>
      <c r="E296" t="s">
        <v>824</v>
      </c>
      <c r="F296">
        <v>1500</v>
      </c>
      <c r="G296">
        <v>2000</v>
      </c>
    </row>
    <row r="297" spans="1:7">
      <c r="A297" t="s">
        <v>651</v>
      </c>
      <c r="B297" t="s">
        <v>639</v>
      </c>
      <c r="C297" t="s">
        <v>649</v>
      </c>
      <c r="D297" t="s">
        <v>650</v>
      </c>
      <c r="E297" t="s">
        <v>825</v>
      </c>
      <c r="F297">
        <v>1500</v>
      </c>
      <c r="G297">
        <v>1800</v>
      </c>
    </row>
    <row r="298" spans="1:7">
      <c r="A298" t="s">
        <v>653</v>
      </c>
      <c r="B298" t="s">
        <v>639</v>
      </c>
      <c r="C298" t="s">
        <v>652</v>
      </c>
      <c r="D298" t="s">
        <v>644</v>
      </c>
      <c r="E298" t="s">
        <v>824</v>
      </c>
      <c r="F298">
        <v>1500</v>
      </c>
      <c r="G298">
        <v>2500</v>
      </c>
    </row>
    <row r="299" spans="1:7">
      <c r="A299" t="s">
        <v>656</v>
      </c>
      <c r="B299" t="s">
        <v>639</v>
      </c>
      <c r="C299" t="s">
        <v>654</v>
      </c>
      <c r="D299" t="s">
        <v>655</v>
      </c>
      <c r="E299" t="s">
        <v>824</v>
      </c>
      <c r="F299">
        <v>3500</v>
      </c>
      <c r="G299">
        <v>5000</v>
      </c>
    </row>
    <row r="300" spans="1:7">
      <c r="A300" t="s">
        <v>659</v>
      </c>
      <c r="B300" t="s">
        <v>639</v>
      </c>
      <c r="C300" t="s">
        <v>657</v>
      </c>
      <c r="D300" t="s">
        <v>658</v>
      </c>
      <c r="E300" t="s">
        <v>824</v>
      </c>
      <c r="F300">
        <v>1500</v>
      </c>
      <c r="G300">
        <v>2500</v>
      </c>
    </row>
    <row r="301" spans="1:7">
      <c r="A301" t="s">
        <v>661</v>
      </c>
      <c r="B301" t="s">
        <v>639</v>
      </c>
      <c r="C301" t="s">
        <v>660</v>
      </c>
      <c r="D301" t="s">
        <v>658</v>
      </c>
      <c r="E301" t="s">
        <v>824</v>
      </c>
      <c r="F301">
        <v>3500</v>
      </c>
      <c r="G301">
        <v>10000</v>
      </c>
    </row>
    <row r="302" spans="1:7">
      <c r="A302" t="s">
        <v>664</v>
      </c>
      <c r="B302" t="s">
        <v>639</v>
      </c>
      <c r="C302" t="s">
        <v>662</v>
      </c>
      <c r="D302" t="s">
        <v>663</v>
      </c>
      <c r="E302" t="s">
        <v>824</v>
      </c>
      <c r="F302">
        <v>300</v>
      </c>
      <c r="G302">
        <v>500</v>
      </c>
    </row>
    <row r="303" spans="1:7">
      <c r="A303" t="s">
        <v>664</v>
      </c>
      <c r="B303" t="s">
        <v>639</v>
      </c>
      <c r="C303" t="s">
        <v>662</v>
      </c>
      <c r="D303" t="s">
        <v>663</v>
      </c>
      <c r="E303" t="s">
        <v>825</v>
      </c>
      <c r="F303">
        <v>300</v>
      </c>
      <c r="G303">
        <v>200</v>
      </c>
    </row>
    <row r="304" spans="1:7">
      <c r="A304" t="s">
        <v>667</v>
      </c>
      <c r="B304" t="s">
        <v>639</v>
      </c>
      <c r="C304" t="s">
        <v>665</v>
      </c>
      <c r="D304" t="s">
        <v>666</v>
      </c>
      <c r="E304" t="s">
        <v>824</v>
      </c>
      <c r="F304">
        <v>2500</v>
      </c>
      <c r="G304">
        <v>6000</v>
      </c>
    </row>
    <row r="305" spans="1:7">
      <c r="A305" t="s">
        <v>670</v>
      </c>
      <c r="B305" t="s">
        <v>639</v>
      </c>
      <c r="C305" t="s">
        <v>668</v>
      </c>
      <c r="D305" t="s">
        <v>669</v>
      </c>
      <c r="E305" t="s">
        <v>824</v>
      </c>
      <c r="F305">
        <v>1500</v>
      </c>
      <c r="G305">
        <v>2500</v>
      </c>
    </row>
    <row r="306" spans="1:7">
      <c r="A306" t="s">
        <v>673</v>
      </c>
      <c r="B306" t="s">
        <v>639</v>
      </c>
      <c r="C306" t="s">
        <v>671</v>
      </c>
      <c r="D306" t="s">
        <v>672</v>
      </c>
      <c r="E306" t="s">
        <v>824</v>
      </c>
      <c r="F306">
        <v>1500</v>
      </c>
      <c r="G306">
        <v>2000</v>
      </c>
    </row>
    <row r="307" spans="1:7">
      <c r="A307" t="s">
        <v>673</v>
      </c>
      <c r="B307" t="s">
        <v>639</v>
      </c>
      <c r="C307" t="s">
        <v>671</v>
      </c>
      <c r="D307" t="s">
        <v>672</v>
      </c>
      <c r="E307" t="s">
        <v>825</v>
      </c>
      <c r="F307">
        <v>1500</v>
      </c>
      <c r="G307">
        <v>1500</v>
      </c>
    </row>
    <row r="308" spans="1:7">
      <c r="A308" t="s">
        <v>676</v>
      </c>
      <c r="B308" t="s">
        <v>639</v>
      </c>
      <c r="C308" t="s">
        <v>674</v>
      </c>
      <c r="D308" t="s">
        <v>675</v>
      </c>
      <c r="E308" t="s">
        <v>824</v>
      </c>
      <c r="F308">
        <v>1500</v>
      </c>
      <c r="G308">
        <v>2000</v>
      </c>
    </row>
    <row r="309" spans="1:7">
      <c r="A309" t="s">
        <v>678</v>
      </c>
      <c r="B309" t="s">
        <v>639</v>
      </c>
      <c r="C309" t="s">
        <v>677</v>
      </c>
      <c r="D309" t="s">
        <v>675</v>
      </c>
      <c r="E309" t="s">
        <v>824</v>
      </c>
      <c r="F309">
        <v>2000</v>
      </c>
      <c r="G309">
        <v>2500</v>
      </c>
    </row>
    <row r="310" spans="1:7">
      <c r="A310" t="s">
        <v>681</v>
      </c>
      <c r="B310" t="s">
        <v>639</v>
      </c>
      <c r="C310" t="s">
        <v>679</v>
      </c>
      <c r="D310" t="s">
        <v>680</v>
      </c>
      <c r="E310" t="s">
        <v>825</v>
      </c>
      <c r="F310">
        <v>0</v>
      </c>
      <c r="G310">
        <v>18000</v>
      </c>
    </row>
    <row r="311" spans="1:7">
      <c r="A311" t="s">
        <v>684</v>
      </c>
      <c r="B311" t="s">
        <v>639</v>
      </c>
      <c r="C311" t="s">
        <v>682</v>
      </c>
      <c r="D311" t="s">
        <v>683</v>
      </c>
      <c r="E311" t="s">
        <v>825</v>
      </c>
      <c r="F311">
        <v>0</v>
      </c>
      <c r="G311">
        <v>1000</v>
      </c>
    </row>
    <row r="312" spans="1:7">
      <c r="A312" t="s">
        <v>687</v>
      </c>
      <c r="B312" t="s">
        <v>639</v>
      </c>
      <c r="C312" t="s">
        <v>685</v>
      </c>
      <c r="D312" t="s">
        <v>686</v>
      </c>
      <c r="E312" t="s">
        <v>825</v>
      </c>
      <c r="F312">
        <v>0</v>
      </c>
      <c r="G312">
        <v>20800</v>
      </c>
    </row>
    <row r="313" spans="1:7">
      <c r="A313" t="s">
        <v>690</v>
      </c>
      <c r="B313" t="s">
        <v>639</v>
      </c>
      <c r="C313" t="s">
        <v>688</v>
      </c>
      <c r="D313" t="s">
        <v>689</v>
      </c>
      <c r="E313" t="s">
        <v>825</v>
      </c>
      <c r="F313">
        <v>0</v>
      </c>
      <c r="G313">
        <v>1040</v>
      </c>
    </row>
    <row r="314" spans="1:7">
      <c r="A314" t="s">
        <v>693</v>
      </c>
      <c r="B314" t="s">
        <v>639</v>
      </c>
      <c r="C314" t="s">
        <v>691</v>
      </c>
      <c r="D314" t="s">
        <v>692</v>
      </c>
      <c r="E314" t="s">
        <v>824</v>
      </c>
      <c r="F314">
        <v>2500</v>
      </c>
      <c r="G314">
        <v>4000</v>
      </c>
    </row>
    <row r="315" spans="1:7">
      <c r="A315" t="s">
        <v>696</v>
      </c>
      <c r="B315" t="s">
        <v>639</v>
      </c>
      <c r="C315" t="s">
        <v>694</v>
      </c>
      <c r="D315" t="s">
        <v>695</v>
      </c>
      <c r="E315" t="s">
        <v>824</v>
      </c>
      <c r="F315">
        <v>20000</v>
      </c>
      <c r="G315">
        <v>25000</v>
      </c>
    </row>
    <row r="316" spans="1:7">
      <c r="A316" t="s">
        <v>698</v>
      </c>
      <c r="B316" t="s">
        <v>639</v>
      </c>
      <c r="C316" t="s">
        <v>697</v>
      </c>
      <c r="D316" t="s">
        <v>692</v>
      </c>
      <c r="E316" t="s">
        <v>824</v>
      </c>
      <c r="F316">
        <v>1500</v>
      </c>
      <c r="G316">
        <v>2000</v>
      </c>
    </row>
    <row r="317" spans="1:7">
      <c r="A317" t="s">
        <v>700</v>
      </c>
      <c r="B317" t="s">
        <v>639</v>
      </c>
      <c r="C317" t="s">
        <v>699</v>
      </c>
      <c r="D317" t="s">
        <v>429</v>
      </c>
      <c r="E317" t="s">
        <v>824</v>
      </c>
      <c r="F317">
        <v>800</v>
      </c>
      <c r="G317">
        <v>1200</v>
      </c>
    </row>
    <row r="318" spans="1:7">
      <c r="A318" t="s">
        <v>700</v>
      </c>
      <c r="B318" t="s">
        <v>639</v>
      </c>
      <c r="C318" t="s">
        <v>699</v>
      </c>
      <c r="D318" t="s">
        <v>429</v>
      </c>
      <c r="E318" t="s">
        <v>825</v>
      </c>
      <c r="F318">
        <v>800</v>
      </c>
      <c r="G318">
        <v>800</v>
      </c>
    </row>
    <row r="319" spans="1:7">
      <c r="A319" t="s">
        <v>703</v>
      </c>
      <c r="B319" t="s">
        <v>639</v>
      </c>
      <c r="C319" t="s">
        <v>701</v>
      </c>
      <c r="D319" t="s">
        <v>702</v>
      </c>
      <c r="E319" t="s">
        <v>824</v>
      </c>
      <c r="F319">
        <v>200</v>
      </c>
      <c r="G319">
        <v>300</v>
      </c>
    </row>
    <row r="320" spans="1:7">
      <c r="A320" t="s">
        <v>703</v>
      </c>
      <c r="B320" t="s">
        <v>639</v>
      </c>
      <c r="C320" t="s">
        <v>701</v>
      </c>
      <c r="D320" t="s">
        <v>702</v>
      </c>
      <c r="E320" t="s">
        <v>825</v>
      </c>
      <c r="F320">
        <v>200</v>
      </c>
      <c r="G320">
        <v>200</v>
      </c>
    </row>
    <row r="321" spans="1:7">
      <c r="A321" t="s">
        <v>706</v>
      </c>
      <c r="B321" t="s">
        <v>639</v>
      </c>
      <c r="C321" t="s">
        <v>704</v>
      </c>
      <c r="D321" t="s">
        <v>705</v>
      </c>
      <c r="E321" t="s">
        <v>824</v>
      </c>
      <c r="F321">
        <v>50</v>
      </c>
      <c r="G321">
        <v>100</v>
      </c>
    </row>
    <row r="322" spans="1:7">
      <c r="A322" t="s">
        <v>706</v>
      </c>
      <c r="B322" t="s">
        <v>639</v>
      </c>
      <c r="C322" t="s">
        <v>704</v>
      </c>
      <c r="D322" t="s">
        <v>705</v>
      </c>
      <c r="E322" t="s">
        <v>825</v>
      </c>
      <c r="F322">
        <v>50</v>
      </c>
      <c r="G322">
        <v>50</v>
      </c>
    </row>
    <row r="323" spans="1:7">
      <c r="A323" t="s">
        <v>709</v>
      </c>
      <c r="B323" t="s">
        <v>639</v>
      </c>
      <c r="C323" t="s">
        <v>707</v>
      </c>
      <c r="D323" t="s">
        <v>708</v>
      </c>
      <c r="E323" t="s">
        <v>824</v>
      </c>
      <c r="F323">
        <v>100</v>
      </c>
      <c r="G323">
        <v>200</v>
      </c>
    </row>
    <row r="324" spans="1:7">
      <c r="A324" t="s">
        <v>709</v>
      </c>
      <c r="B324" t="s">
        <v>639</v>
      </c>
      <c r="C324" t="s">
        <v>707</v>
      </c>
      <c r="D324" t="s">
        <v>708</v>
      </c>
      <c r="E324" t="s">
        <v>825</v>
      </c>
      <c r="F324">
        <v>100</v>
      </c>
      <c r="G324">
        <v>100</v>
      </c>
    </row>
    <row r="325" spans="1:7">
      <c r="A325" t="s">
        <v>712</v>
      </c>
      <c r="B325" t="s">
        <v>639</v>
      </c>
      <c r="C325" t="s">
        <v>710</v>
      </c>
      <c r="D325" t="s">
        <v>711</v>
      </c>
      <c r="E325" t="s">
        <v>824</v>
      </c>
      <c r="F325">
        <v>1500</v>
      </c>
      <c r="G325">
        <v>2000</v>
      </c>
    </row>
    <row r="326" spans="1:7">
      <c r="A326" t="s">
        <v>715</v>
      </c>
      <c r="B326" t="s">
        <v>639</v>
      </c>
      <c r="C326" t="s">
        <v>713</v>
      </c>
      <c r="D326" t="s">
        <v>714</v>
      </c>
      <c r="E326" t="s">
        <v>824</v>
      </c>
      <c r="F326">
        <v>2000</v>
      </c>
      <c r="G326">
        <v>2500</v>
      </c>
    </row>
    <row r="327" spans="1:7">
      <c r="A327" t="s">
        <v>715</v>
      </c>
      <c r="B327" t="s">
        <v>639</v>
      </c>
      <c r="C327" t="s">
        <v>713</v>
      </c>
      <c r="D327" t="s">
        <v>714</v>
      </c>
      <c r="E327" t="s">
        <v>825</v>
      </c>
      <c r="F327">
        <v>2000</v>
      </c>
      <c r="G327">
        <v>1500</v>
      </c>
    </row>
    <row r="328" spans="1:7">
      <c r="A328" t="s">
        <v>717</v>
      </c>
      <c r="B328" t="s">
        <v>639</v>
      </c>
      <c r="C328" t="s">
        <v>716</v>
      </c>
      <c r="D328" t="s">
        <v>711</v>
      </c>
      <c r="E328" t="s">
        <v>824</v>
      </c>
      <c r="F328">
        <v>1500</v>
      </c>
      <c r="G328">
        <v>2000</v>
      </c>
    </row>
    <row r="329" spans="1:7">
      <c r="A329" t="s">
        <v>720</v>
      </c>
      <c r="B329" t="s">
        <v>639</v>
      </c>
      <c r="C329" t="s">
        <v>718</v>
      </c>
      <c r="D329" t="s">
        <v>719</v>
      </c>
      <c r="E329" t="s">
        <v>824</v>
      </c>
      <c r="F329">
        <v>2000</v>
      </c>
      <c r="G329">
        <v>3000</v>
      </c>
    </row>
    <row r="330" spans="1:7">
      <c r="A330" t="s">
        <v>723</v>
      </c>
      <c r="B330" t="s">
        <v>639</v>
      </c>
      <c r="C330" t="s">
        <v>721</v>
      </c>
      <c r="D330" t="s">
        <v>722</v>
      </c>
      <c r="E330" t="s">
        <v>825</v>
      </c>
      <c r="F330">
        <v>0</v>
      </c>
      <c r="G330">
        <v>30000</v>
      </c>
    </row>
    <row r="331" spans="1:7">
      <c r="A331" t="s">
        <v>725</v>
      </c>
      <c r="B331" t="s">
        <v>639</v>
      </c>
      <c r="C331" t="s">
        <v>724</v>
      </c>
      <c r="D331" t="s">
        <v>463</v>
      </c>
      <c r="E331" t="s">
        <v>825</v>
      </c>
      <c r="F331">
        <v>0</v>
      </c>
      <c r="G331">
        <v>1800</v>
      </c>
    </row>
    <row r="332" spans="1:7">
      <c r="A332" t="s">
        <v>727</v>
      </c>
      <c r="B332" t="s">
        <v>639</v>
      </c>
      <c r="C332" t="s">
        <v>726</v>
      </c>
      <c r="D332" t="s">
        <v>463</v>
      </c>
      <c r="E332" t="s">
        <v>825</v>
      </c>
      <c r="F332">
        <v>1000</v>
      </c>
      <c r="G332">
        <v>1000</v>
      </c>
    </row>
    <row r="333" spans="1:7">
      <c r="A333" t="s">
        <v>727</v>
      </c>
      <c r="B333" t="s">
        <v>639</v>
      </c>
      <c r="C333" t="s">
        <v>726</v>
      </c>
      <c r="D333" t="s">
        <v>463</v>
      </c>
      <c r="E333" t="s">
        <v>824</v>
      </c>
      <c r="F333">
        <v>1000</v>
      </c>
      <c r="G333">
        <v>2000</v>
      </c>
    </row>
    <row r="334" spans="1:7">
      <c r="A334" t="s">
        <v>729</v>
      </c>
      <c r="B334" t="s">
        <v>639</v>
      </c>
      <c r="C334" t="s">
        <v>728</v>
      </c>
      <c r="D334" t="s">
        <v>722</v>
      </c>
      <c r="E334" t="s">
        <v>825</v>
      </c>
      <c r="F334">
        <v>20000</v>
      </c>
      <c r="G334">
        <v>20000</v>
      </c>
    </row>
    <row r="335" spans="1:7">
      <c r="A335" t="s">
        <v>729</v>
      </c>
      <c r="B335" t="s">
        <v>639</v>
      </c>
      <c r="C335" t="s">
        <v>728</v>
      </c>
      <c r="D335" t="s">
        <v>722</v>
      </c>
      <c r="E335" t="s">
        <v>824</v>
      </c>
      <c r="F335">
        <v>20000</v>
      </c>
      <c r="G335">
        <v>28000</v>
      </c>
    </row>
    <row r="336" spans="1:7">
      <c r="A336" t="s">
        <v>731</v>
      </c>
      <c r="B336" t="s">
        <v>639</v>
      </c>
      <c r="C336" t="s">
        <v>730</v>
      </c>
      <c r="D336" t="s">
        <v>722</v>
      </c>
      <c r="E336" t="s">
        <v>825</v>
      </c>
      <c r="F336">
        <v>0</v>
      </c>
      <c r="G336">
        <v>35000</v>
      </c>
    </row>
    <row r="337" spans="1:7">
      <c r="A337" t="s">
        <v>733</v>
      </c>
      <c r="B337" t="s">
        <v>639</v>
      </c>
      <c r="C337" t="s">
        <v>732</v>
      </c>
      <c r="D337" t="s">
        <v>463</v>
      </c>
      <c r="E337" t="s">
        <v>825</v>
      </c>
      <c r="F337">
        <v>0</v>
      </c>
      <c r="G337">
        <v>2000</v>
      </c>
    </row>
    <row r="338" spans="1:7">
      <c r="A338" t="s">
        <v>736</v>
      </c>
      <c r="B338" t="s">
        <v>639</v>
      </c>
      <c r="C338" t="s">
        <v>734</v>
      </c>
      <c r="D338" t="s">
        <v>735</v>
      </c>
      <c r="E338" t="s">
        <v>824</v>
      </c>
      <c r="F338">
        <v>2500</v>
      </c>
      <c r="G338">
        <v>4000</v>
      </c>
    </row>
    <row r="339" spans="1:7">
      <c r="A339" t="s">
        <v>738</v>
      </c>
      <c r="B339" t="s">
        <v>639</v>
      </c>
      <c r="C339" t="s">
        <v>737</v>
      </c>
      <c r="D339" t="s">
        <v>735</v>
      </c>
      <c r="E339" t="s">
        <v>824</v>
      </c>
      <c r="F339">
        <v>3000</v>
      </c>
      <c r="G339">
        <v>5000</v>
      </c>
    </row>
    <row r="340" spans="1:7">
      <c r="A340" t="s">
        <v>740</v>
      </c>
      <c r="B340" t="s">
        <v>639</v>
      </c>
      <c r="C340" t="s">
        <v>739</v>
      </c>
      <c r="D340" t="s">
        <v>735</v>
      </c>
      <c r="E340" t="s">
        <v>824</v>
      </c>
      <c r="F340">
        <v>2500</v>
      </c>
      <c r="G340">
        <v>4000</v>
      </c>
    </row>
    <row r="341" spans="1:7">
      <c r="A341" t="s">
        <v>742</v>
      </c>
      <c r="B341" t="s">
        <v>639</v>
      </c>
      <c r="C341" t="s">
        <v>741</v>
      </c>
      <c r="D341" t="s">
        <v>692</v>
      </c>
      <c r="E341" t="s">
        <v>824</v>
      </c>
      <c r="F341">
        <v>1500</v>
      </c>
      <c r="G341">
        <v>3000</v>
      </c>
    </row>
    <row r="342" spans="1:7">
      <c r="A342" t="s">
        <v>744</v>
      </c>
      <c r="B342" t="s">
        <v>639</v>
      </c>
      <c r="C342" t="s">
        <v>743</v>
      </c>
      <c r="D342" t="s">
        <v>692</v>
      </c>
      <c r="E342" t="s">
        <v>824</v>
      </c>
      <c r="F342">
        <v>2000</v>
      </c>
      <c r="G342">
        <v>3000</v>
      </c>
    </row>
    <row r="343" spans="1:7">
      <c r="A343" t="s">
        <v>746</v>
      </c>
      <c r="B343" t="s">
        <v>639</v>
      </c>
      <c r="C343" t="s">
        <v>745</v>
      </c>
      <c r="D343" t="s">
        <v>692</v>
      </c>
      <c r="E343" t="s">
        <v>824</v>
      </c>
      <c r="F343">
        <v>2000</v>
      </c>
      <c r="G343">
        <v>2500</v>
      </c>
    </row>
    <row r="344" spans="1:7">
      <c r="A344" t="s">
        <v>749</v>
      </c>
      <c r="B344" t="s">
        <v>639</v>
      </c>
      <c r="C344" t="s">
        <v>747</v>
      </c>
      <c r="D344" t="s">
        <v>748</v>
      </c>
      <c r="E344" t="s">
        <v>824</v>
      </c>
      <c r="F344">
        <v>500</v>
      </c>
      <c r="G344">
        <v>1000</v>
      </c>
    </row>
    <row r="345" spans="1:7">
      <c r="A345" t="s">
        <v>752</v>
      </c>
      <c r="B345" t="s">
        <v>639</v>
      </c>
      <c r="C345" t="s">
        <v>750</v>
      </c>
      <c r="D345" t="s">
        <v>751</v>
      </c>
      <c r="E345" t="s">
        <v>824</v>
      </c>
      <c r="F345">
        <v>500</v>
      </c>
      <c r="G345">
        <v>1000</v>
      </c>
    </row>
    <row r="346" spans="1:7">
      <c r="A346" t="s">
        <v>755</v>
      </c>
      <c r="B346" t="s">
        <v>639</v>
      </c>
      <c r="C346" t="s">
        <v>753</v>
      </c>
      <c r="D346" t="s">
        <v>754</v>
      </c>
      <c r="E346" t="s">
        <v>824</v>
      </c>
      <c r="F346">
        <v>500</v>
      </c>
      <c r="G346">
        <v>1000</v>
      </c>
    </row>
    <row r="347" spans="1:7">
      <c r="A347" t="s">
        <v>758</v>
      </c>
      <c r="B347" t="s">
        <v>639</v>
      </c>
      <c r="C347" t="s">
        <v>756</v>
      </c>
      <c r="D347" t="s">
        <v>757</v>
      </c>
      <c r="E347" t="s">
        <v>824</v>
      </c>
      <c r="F347">
        <v>350</v>
      </c>
      <c r="G347">
        <v>600</v>
      </c>
    </row>
    <row r="348" spans="1:7">
      <c r="A348" t="s">
        <v>761</v>
      </c>
      <c r="B348" t="s">
        <v>639</v>
      </c>
      <c r="C348" t="s">
        <v>759</v>
      </c>
      <c r="D348" t="s">
        <v>760</v>
      </c>
      <c r="E348" t="s">
        <v>825</v>
      </c>
      <c r="F348">
        <v>4000</v>
      </c>
      <c r="G348">
        <v>20800</v>
      </c>
    </row>
    <row r="349" spans="1:7">
      <c r="A349" t="s">
        <v>761</v>
      </c>
      <c r="B349" t="s">
        <v>639</v>
      </c>
      <c r="C349" t="s">
        <v>759</v>
      </c>
      <c r="D349" t="s">
        <v>760</v>
      </c>
      <c r="E349" t="s">
        <v>824</v>
      </c>
      <c r="F349">
        <v>4000</v>
      </c>
      <c r="G349">
        <v>7500</v>
      </c>
    </row>
    <row r="350" spans="1:7">
      <c r="A350" t="s">
        <v>764</v>
      </c>
      <c r="B350" t="s">
        <v>639</v>
      </c>
      <c r="C350" t="s">
        <v>762</v>
      </c>
      <c r="D350" t="s">
        <v>763</v>
      </c>
      <c r="E350" t="s">
        <v>824</v>
      </c>
      <c r="F350">
        <v>0</v>
      </c>
      <c r="G350">
        <v>5000</v>
      </c>
    </row>
    <row r="351" spans="1:7">
      <c r="A351" t="s">
        <v>767</v>
      </c>
      <c r="B351" t="s">
        <v>639</v>
      </c>
      <c r="C351" t="s">
        <v>765</v>
      </c>
      <c r="D351" t="s">
        <v>766</v>
      </c>
      <c r="E351" t="s">
        <v>824</v>
      </c>
      <c r="F351">
        <v>0</v>
      </c>
      <c r="G351">
        <v>3500</v>
      </c>
    </row>
    <row r="352" spans="1:7">
      <c r="A352" t="s">
        <v>767</v>
      </c>
      <c r="B352" t="s">
        <v>639</v>
      </c>
      <c r="C352" t="s">
        <v>765</v>
      </c>
      <c r="D352" t="s">
        <v>766</v>
      </c>
      <c r="E352" t="s">
        <v>825</v>
      </c>
      <c r="F352">
        <v>0</v>
      </c>
      <c r="G352">
        <v>2500</v>
      </c>
    </row>
    <row r="353" spans="1:7">
      <c r="A353" t="s">
        <v>770</v>
      </c>
      <c r="B353" t="s">
        <v>639</v>
      </c>
      <c r="C353" t="s">
        <v>768</v>
      </c>
      <c r="D353" t="s">
        <v>769</v>
      </c>
      <c r="E353" t="s">
        <v>824</v>
      </c>
      <c r="F353">
        <v>0</v>
      </c>
      <c r="G353">
        <v>50000</v>
      </c>
    </row>
    <row r="354" spans="1:7">
      <c r="A354" t="s">
        <v>770</v>
      </c>
      <c r="B354" t="s">
        <v>639</v>
      </c>
      <c r="C354" t="s">
        <v>768</v>
      </c>
      <c r="D354" t="s">
        <v>769</v>
      </c>
      <c r="E354" t="s">
        <v>825</v>
      </c>
      <c r="F354">
        <v>0</v>
      </c>
      <c r="G354">
        <v>50000</v>
      </c>
    </row>
    <row r="355" spans="1:7">
      <c r="A355" t="s">
        <v>772</v>
      </c>
      <c r="B355" t="s">
        <v>639</v>
      </c>
      <c r="C355" t="s">
        <v>771</v>
      </c>
      <c r="D355" t="s">
        <v>666</v>
      </c>
      <c r="E355" t="s">
        <v>825</v>
      </c>
      <c r="F355">
        <v>0</v>
      </c>
      <c r="G355">
        <v>2000</v>
      </c>
    </row>
    <row r="356" spans="1:7">
      <c r="A356" t="s">
        <v>774</v>
      </c>
      <c r="B356" t="s">
        <v>639</v>
      </c>
      <c r="C356" t="s">
        <v>773</v>
      </c>
      <c r="E356" t="s">
        <v>824</v>
      </c>
      <c r="F356">
        <v>0</v>
      </c>
      <c r="G356">
        <v>700</v>
      </c>
    </row>
    <row r="357" spans="1:7">
      <c r="A357" t="s">
        <v>776</v>
      </c>
      <c r="B357" t="s">
        <v>639</v>
      </c>
      <c r="C357" t="s">
        <v>775</v>
      </c>
      <c r="E357" t="s">
        <v>824</v>
      </c>
      <c r="F357">
        <v>0</v>
      </c>
      <c r="G357">
        <v>300</v>
      </c>
    </row>
    <row r="358" spans="1:7">
      <c r="A358" t="s">
        <v>779</v>
      </c>
      <c r="B358" t="s">
        <v>639</v>
      </c>
      <c r="C358" t="s">
        <v>777</v>
      </c>
      <c r="D358" t="s">
        <v>778</v>
      </c>
      <c r="E358" t="s">
        <v>824</v>
      </c>
      <c r="F358">
        <v>300</v>
      </c>
      <c r="G358">
        <v>500</v>
      </c>
    </row>
    <row r="359" spans="1:7">
      <c r="A359" t="s">
        <v>782</v>
      </c>
      <c r="B359" t="s">
        <v>639</v>
      </c>
      <c r="C359" t="s">
        <v>780</v>
      </c>
      <c r="D359" t="s">
        <v>781</v>
      </c>
      <c r="E359" t="s">
        <v>824</v>
      </c>
      <c r="F359">
        <v>0</v>
      </c>
      <c r="G359">
        <v>1000</v>
      </c>
    </row>
    <row r="360" spans="1:7">
      <c r="A360" t="s">
        <v>782</v>
      </c>
      <c r="B360" t="s">
        <v>639</v>
      </c>
      <c r="C360" t="s">
        <v>780</v>
      </c>
      <c r="D360" t="s">
        <v>781</v>
      </c>
      <c r="E360" t="s">
        <v>825</v>
      </c>
      <c r="F360">
        <v>0</v>
      </c>
      <c r="G360">
        <v>700</v>
      </c>
    </row>
    <row r="361" spans="1:7">
      <c r="A361" t="s">
        <v>784</v>
      </c>
      <c r="B361" t="s">
        <v>639</v>
      </c>
      <c r="C361" t="s">
        <v>783</v>
      </c>
      <c r="D361" t="s">
        <v>781</v>
      </c>
      <c r="E361" t="s">
        <v>824</v>
      </c>
      <c r="F361">
        <v>0</v>
      </c>
      <c r="G361">
        <v>1000</v>
      </c>
    </row>
    <row r="362" spans="1:7">
      <c r="A362" t="s">
        <v>784</v>
      </c>
      <c r="B362" t="s">
        <v>639</v>
      </c>
      <c r="C362" t="s">
        <v>783</v>
      </c>
      <c r="D362" t="s">
        <v>781</v>
      </c>
      <c r="E362" t="s">
        <v>825</v>
      </c>
      <c r="F362">
        <v>0</v>
      </c>
      <c r="G362">
        <v>1000</v>
      </c>
    </row>
    <row r="363" spans="1:7">
      <c r="A363" t="s">
        <v>786</v>
      </c>
      <c r="B363" t="s">
        <v>639</v>
      </c>
      <c r="C363" t="s">
        <v>785</v>
      </c>
      <c r="D363" t="s">
        <v>781</v>
      </c>
      <c r="E363" t="s">
        <v>824</v>
      </c>
      <c r="F363">
        <v>0</v>
      </c>
      <c r="G363">
        <v>1000</v>
      </c>
    </row>
    <row r="364" spans="1:7">
      <c r="A364" t="s">
        <v>786</v>
      </c>
      <c r="B364" t="s">
        <v>639</v>
      </c>
      <c r="C364" t="s">
        <v>785</v>
      </c>
      <c r="D364" t="s">
        <v>781</v>
      </c>
      <c r="E364" t="s">
        <v>825</v>
      </c>
      <c r="F364">
        <v>0</v>
      </c>
      <c r="G364">
        <v>800</v>
      </c>
    </row>
    <row r="365" spans="1:7">
      <c r="A365" t="s">
        <v>788</v>
      </c>
      <c r="B365" t="s">
        <v>639</v>
      </c>
      <c r="C365" t="s">
        <v>787</v>
      </c>
      <c r="D365" t="s">
        <v>781</v>
      </c>
      <c r="E365" t="s">
        <v>824</v>
      </c>
      <c r="F365">
        <v>0</v>
      </c>
      <c r="G365">
        <v>1000</v>
      </c>
    </row>
    <row r="366" spans="1:7">
      <c r="A366" t="s">
        <v>788</v>
      </c>
      <c r="B366" t="s">
        <v>639</v>
      </c>
      <c r="C366" t="s">
        <v>787</v>
      </c>
      <c r="D366" t="s">
        <v>781</v>
      </c>
      <c r="E366" t="s">
        <v>825</v>
      </c>
      <c r="F366">
        <v>0</v>
      </c>
      <c r="G366">
        <v>1000</v>
      </c>
    </row>
    <row r="367" spans="1:7">
      <c r="A367" t="s">
        <v>790</v>
      </c>
      <c r="B367" t="s">
        <v>639</v>
      </c>
      <c r="C367" t="s">
        <v>789</v>
      </c>
      <c r="D367" t="s">
        <v>781</v>
      </c>
      <c r="E367" t="s">
        <v>824</v>
      </c>
      <c r="F367">
        <v>0</v>
      </c>
      <c r="G367">
        <v>1000</v>
      </c>
    </row>
    <row r="368" spans="1:7">
      <c r="A368" t="s">
        <v>790</v>
      </c>
      <c r="B368" t="s">
        <v>639</v>
      </c>
      <c r="C368" t="s">
        <v>789</v>
      </c>
      <c r="D368" t="s">
        <v>781</v>
      </c>
      <c r="E368" t="s">
        <v>825</v>
      </c>
      <c r="F368">
        <v>0</v>
      </c>
      <c r="G368">
        <v>1000</v>
      </c>
    </row>
    <row r="369" spans="1:7">
      <c r="A369" t="s">
        <v>792</v>
      </c>
      <c r="B369" t="s">
        <v>639</v>
      </c>
      <c r="C369" t="s">
        <v>791</v>
      </c>
      <c r="D369" t="s">
        <v>781</v>
      </c>
      <c r="E369" t="s">
        <v>825</v>
      </c>
      <c r="F369">
        <v>0</v>
      </c>
      <c r="G369">
        <v>1000</v>
      </c>
    </row>
    <row r="370" spans="1:7">
      <c r="A370" t="s">
        <v>792</v>
      </c>
      <c r="B370" t="s">
        <v>639</v>
      </c>
      <c r="C370" t="s">
        <v>791</v>
      </c>
      <c r="D370" t="s">
        <v>781</v>
      </c>
      <c r="E370" t="s">
        <v>824</v>
      </c>
      <c r="F370">
        <v>0</v>
      </c>
      <c r="G370">
        <v>1000</v>
      </c>
    </row>
    <row r="371" spans="1:7">
      <c r="A371" t="s">
        <v>794</v>
      </c>
      <c r="B371" t="s">
        <v>639</v>
      </c>
      <c r="C371" t="s">
        <v>793</v>
      </c>
      <c r="D371" t="s">
        <v>722</v>
      </c>
      <c r="E371" t="s">
        <v>825</v>
      </c>
      <c r="F371">
        <v>0</v>
      </c>
      <c r="G371">
        <v>15000</v>
      </c>
    </row>
    <row r="372" spans="1:7">
      <c r="A372" t="s">
        <v>794</v>
      </c>
      <c r="B372" t="s">
        <v>639</v>
      </c>
      <c r="C372" t="s">
        <v>793</v>
      </c>
      <c r="D372" t="s">
        <v>722</v>
      </c>
      <c r="E372" t="s">
        <v>824</v>
      </c>
      <c r="F372">
        <v>0</v>
      </c>
      <c r="G372">
        <v>15000</v>
      </c>
    </row>
    <row r="373" spans="1:7">
      <c r="A373" t="s">
        <v>796</v>
      </c>
      <c r="B373" t="s">
        <v>639</v>
      </c>
      <c r="C373" t="s">
        <v>795</v>
      </c>
      <c r="D373" t="s">
        <v>666</v>
      </c>
      <c r="E373" t="s">
        <v>825</v>
      </c>
      <c r="F373">
        <v>2000</v>
      </c>
      <c r="G373">
        <v>15000</v>
      </c>
    </row>
    <row r="374" spans="1:7">
      <c r="A374" t="s">
        <v>796</v>
      </c>
      <c r="B374" t="s">
        <v>639</v>
      </c>
      <c r="C374" t="s">
        <v>795</v>
      </c>
      <c r="D374" t="s">
        <v>666</v>
      </c>
      <c r="E374" t="s">
        <v>824</v>
      </c>
      <c r="F374">
        <v>2000</v>
      </c>
      <c r="G374">
        <v>3000</v>
      </c>
    </row>
    <row r="375" spans="1:7">
      <c r="A375" t="s">
        <v>798</v>
      </c>
      <c r="B375" t="s">
        <v>639</v>
      </c>
      <c r="C375" t="s">
        <v>797</v>
      </c>
      <c r="D375" t="s">
        <v>644</v>
      </c>
      <c r="E375" t="s">
        <v>824</v>
      </c>
      <c r="F375">
        <v>1500</v>
      </c>
      <c r="G375">
        <v>2000</v>
      </c>
    </row>
    <row r="376" spans="1:7">
      <c r="A376" t="s">
        <v>800</v>
      </c>
      <c r="B376" t="s">
        <v>639</v>
      </c>
      <c r="C376" t="s">
        <v>799</v>
      </c>
      <c r="D376" t="s">
        <v>666</v>
      </c>
      <c r="E376" t="s">
        <v>824</v>
      </c>
      <c r="F376">
        <v>2000</v>
      </c>
      <c r="G376">
        <v>2500</v>
      </c>
    </row>
    <row r="377" spans="1:7">
      <c r="A377" t="s">
        <v>803</v>
      </c>
      <c r="B377" t="s">
        <v>639</v>
      </c>
      <c r="C377" t="s">
        <v>801</v>
      </c>
      <c r="D377" t="s">
        <v>802</v>
      </c>
      <c r="E377" t="s">
        <v>824</v>
      </c>
      <c r="F377">
        <v>20000</v>
      </c>
      <c r="G377">
        <v>27040</v>
      </c>
    </row>
    <row r="378" spans="1:7">
      <c r="A378" t="s">
        <v>803</v>
      </c>
      <c r="B378" t="s">
        <v>639</v>
      </c>
      <c r="C378" t="s">
        <v>801</v>
      </c>
      <c r="D378" t="s">
        <v>802</v>
      </c>
      <c r="E378" t="s">
        <v>825</v>
      </c>
      <c r="F378">
        <v>20000</v>
      </c>
      <c r="G378">
        <v>26000</v>
      </c>
    </row>
    <row r="379" spans="1:7">
      <c r="A379" t="s">
        <v>806</v>
      </c>
      <c r="B379" t="s">
        <v>639</v>
      </c>
      <c r="C379" t="s">
        <v>804</v>
      </c>
      <c r="D379" t="s">
        <v>805</v>
      </c>
      <c r="E379" t="s">
        <v>824</v>
      </c>
      <c r="F379">
        <v>0</v>
      </c>
      <c r="G379">
        <v>2500</v>
      </c>
    </row>
    <row r="380" spans="1:7">
      <c r="A380" t="s">
        <v>809</v>
      </c>
      <c r="B380" t="s">
        <v>639</v>
      </c>
      <c r="C380" t="s">
        <v>807</v>
      </c>
      <c r="D380" t="s">
        <v>808</v>
      </c>
      <c r="E380" t="s">
        <v>824</v>
      </c>
      <c r="F380">
        <v>3000</v>
      </c>
      <c r="G380">
        <v>5000</v>
      </c>
    </row>
    <row r="381" spans="1:7">
      <c r="A381" t="s">
        <v>811</v>
      </c>
      <c r="B381" t="s">
        <v>639</v>
      </c>
      <c r="C381" t="s">
        <v>810</v>
      </c>
      <c r="D381" t="s">
        <v>805</v>
      </c>
      <c r="E381" t="s">
        <v>824</v>
      </c>
      <c r="F381">
        <v>2500</v>
      </c>
      <c r="G381">
        <v>3500</v>
      </c>
    </row>
    <row r="382" spans="1:7">
      <c r="A382" t="s">
        <v>813</v>
      </c>
      <c r="B382" t="s">
        <v>639</v>
      </c>
      <c r="C382" t="s">
        <v>812</v>
      </c>
      <c r="D382" t="s">
        <v>644</v>
      </c>
      <c r="E382" t="s">
        <v>825</v>
      </c>
      <c r="F382">
        <v>1500</v>
      </c>
      <c r="G382">
        <v>1500</v>
      </c>
    </row>
    <row r="383" spans="1:7">
      <c r="A383" t="s">
        <v>813</v>
      </c>
      <c r="B383" t="s">
        <v>639</v>
      </c>
      <c r="C383" t="s">
        <v>812</v>
      </c>
      <c r="D383" t="s">
        <v>644</v>
      </c>
      <c r="E383" t="s">
        <v>824</v>
      </c>
      <c r="F383">
        <v>1500</v>
      </c>
      <c r="G383">
        <v>2000</v>
      </c>
    </row>
    <row r="384" spans="1:7">
      <c r="A384" t="s">
        <v>815</v>
      </c>
      <c r="B384" t="s">
        <v>639</v>
      </c>
      <c r="C384" t="s">
        <v>814</v>
      </c>
      <c r="D384" t="s">
        <v>463</v>
      </c>
      <c r="E384" t="s">
        <v>825</v>
      </c>
      <c r="F384">
        <v>0</v>
      </c>
      <c r="G384">
        <v>2000</v>
      </c>
    </row>
    <row r="385" spans="1:7">
      <c r="A385" t="s">
        <v>817</v>
      </c>
      <c r="B385" t="s">
        <v>639</v>
      </c>
      <c r="C385" t="s">
        <v>816</v>
      </c>
      <c r="D385" t="s">
        <v>644</v>
      </c>
      <c r="E385" t="s">
        <v>824</v>
      </c>
      <c r="F385">
        <v>1500</v>
      </c>
      <c r="G385">
        <v>2000</v>
      </c>
    </row>
    <row r="386" spans="1:7">
      <c r="A386" t="s">
        <v>817</v>
      </c>
      <c r="B386" t="s">
        <v>639</v>
      </c>
      <c r="C386" t="s">
        <v>816</v>
      </c>
      <c r="D386" t="s">
        <v>644</v>
      </c>
      <c r="E386" t="s">
        <v>825</v>
      </c>
      <c r="F386">
        <v>1500</v>
      </c>
      <c r="G386">
        <v>1500</v>
      </c>
    </row>
    <row r="387" spans="1:7">
      <c r="A387" t="s">
        <v>820</v>
      </c>
      <c r="B387" t="s">
        <v>639</v>
      </c>
      <c r="C387" t="s">
        <v>818</v>
      </c>
      <c r="D387" t="s">
        <v>819</v>
      </c>
      <c r="E387" t="s">
        <v>824</v>
      </c>
      <c r="F387">
        <v>1200</v>
      </c>
      <c r="G387">
        <v>1500</v>
      </c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92EFD-DE3E-49F5-8BA7-8B03253ED7FE}">
  <sheetPr codeName="Sheet11">
    <tabColor rgb="FFFFFF00"/>
    <pageSetUpPr fitToPage="1"/>
  </sheetPr>
  <dimension ref="B1:T23"/>
  <sheetViews>
    <sheetView showGridLines="0" tabSelected="1" zoomScaleNormal="100" workbookViewId="0">
      <selection activeCell="B14" sqref="B14:J14"/>
    </sheetView>
  </sheetViews>
  <sheetFormatPr defaultColWidth="8.7109375" defaultRowHeight="12.6"/>
  <cols>
    <col min="1" max="1" width="3.140625" style="26" customWidth="1"/>
    <col min="2" max="2" width="15.140625" style="26" customWidth="1"/>
    <col min="3" max="3" width="8.42578125" style="26" customWidth="1"/>
    <col min="4" max="4" width="32.7109375" style="26" customWidth="1"/>
    <col min="5" max="5" width="30.140625" style="1" customWidth="1"/>
    <col min="6" max="6" width="13.140625" style="1" customWidth="1"/>
    <col min="7" max="7" width="12.85546875" style="1" customWidth="1"/>
    <col min="8" max="8" width="11.7109375" style="26" customWidth="1"/>
    <col min="9" max="9" width="8.7109375" style="26"/>
    <col min="10" max="10" width="8.5703125" style="26" customWidth="1"/>
    <col min="11" max="11" width="13.5703125" style="26" customWidth="1"/>
    <col min="12" max="12" width="14.140625" style="26" customWidth="1"/>
    <col min="13" max="13" width="12.140625" style="26" customWidth="1"/>
    <col min="14" max="14" width="10.85546875" style="26" bestFit="1" customWidth="1"/>
    <col min="15" max="15" width="10.85546875" style="26" customWidth="1"/>
    <col min="16" max="16" width="31.42578125" style="26" customWidth="1"/>
    <col min="17" max="17" width="8.7109375" style="26"/>
    <col min="18" max="19" width="11" style="26" customWidth="1"/>
    <col min="20" max="20" width="28.5703125" style="26" customWidth="1"/>
    <col min="21" max="16384" width="8.7109375" style="26"/>
  </cols>
  <sheetData>
    <row r="1" spans="2:20" ht="12.95" thickBot="1">
      <c r="E1" s="35" t="s">
        <v>827</v>
      </c>
      <c r="F1" s="36" t="s">
        <v>824</v>
      </c>
    </row>
    <row r="2" spans="2:20" ht="21.6" customHeight="1">
      <c r="B2" s="176"/>
      <c r="C2" s="170" t="s">
        <v>828</v>
      </c>
      <c r="D2" s="171"/>
      <c r="E2" s="17" t="s">
        <v>829</v>
      </c>
      <c r="F2" s="117" t="s">
        <v>825</v>
      </c>
      <c r="G2" s="121"/>
      <c r="H2" s="122"/>
      <c r="I2" s="122"/>
      <c r="J2" s="122"/>
      <c r="K2" s="123"/>
      <c r="M2" s="37" t="s">
        <v>830</v>
      </c>
      <c r="N2" s="155" t="s">
        <v>831</v>
      </c>
      <c r="O2" s="156"/>
      <c r="P2" s="156"/>
      <c r="Q2" s="156"/>
      <c r="R2" s="157"/>
    </row>
    <row r="3" spans="2:20" ht="21.6" customHeight="1">
      <c r="B3" s="177"/>
      <c r="C3" s="172" t="s">
        <v>832</v>
      </c>
      <c r="D3" s="173"/>
      <c r="E3" s="18" t="s">
        <v>833</v>
      </c>
      <c r="F3" s="118" t="s">
        <v>834</v>
      </c>
      <c r="G3" s="124"/>
      <c r="H3" s="125"/>
      <c r="I3" s="125"/>
      <c r="J3" s="125"/>
      <c r="K3" s="126"/>
      <c r="M3" s="38" t="s">
        <v>835</v>
      </c>
      <c r="N3" s="158" t="s">
        <v>836</v>
      </c>
      <c r="O3" s="159"/>
      <c r="P3" s="159"/>
      <c r="Q3" s="159"/>
      <c r="R3" s="160"/>
    </row>
    <row r="4" spans="2:20" ht="21.6" customHeight="1">
      <c r="B4" s="177"/>
      <c r="C4" s="172" t="s">
        <v>837</v>
      </c>
      <c r="D4" s="173"/>
      <c r="E4" s="18" t="s">
        <v>838</v>
      </c>
      <c r="F4" s="119" t="s">
        <v>839</v>
      </c>
      <c r="G4" s="127"/>
      <c r="H4" s="128"/>
      <c r="I4" s="128"/>
      <c r="J4" s="128"/>
      <c r="K4" s="129"/>
      <c r="M4" s="38" t="s">
        <v>840</v>
      </c>
      <c r="N4" s="161">
        <v>45929</v>
      </c>
      <c r="O4" s="162"/>
      <c r="P4" s="162"/>
      <c r="Q4" s="162"/>
      <c r="R4" s="163"/>
    </row>
    <row r="5" spans="2:20" ht="21.6" customHeight="1" thickBot="1">
      <c r="B5" s="178"/>
      <c r="C5" s="174" t="s">
        <v>841</v>
      </c>
      <c r="D5" s="175"/>
      <c r="E5" s="19" t="s">
        <v>842</v>
      </c>
      <c r="F5" s="120" t="s">
        <v>843</v>
      </c>
      <c r="G5" s="130"/>
      <c r="H5" s="131"/>
      <c r="I5" s="131"/>
      <c r="J5" s="131"/>
      <c r="K5" s="132"/>
      <c r="M5" s="39" t="s">
        <v>844</v>
      </c>
      <c r="N5" s="164">
        <v>45931</v>
      </c>
      <c r="O5" s="165"/>
      <c r="P5" s="165"/>
      <c r="Q5" s="165"/>
      <c r="R5" s="166"/>
    </row>
    <row r="6" spans="2:20" ht="16.5" customHeight="1">
      <c r="C6" s="41"/>
      <c r="D6" s="101"/>
      <c r="E6" s="26"/>
      <c r="F6" s="42"/>
      <c r="G6" s="43"/>
      <c r="H6" s="44"/>
      <c r="I6" s="44"/>
      <c r="J6" s="1"/>
      <c r="K6" s="40"/>
      <c r="L6" s="167" t="s">
        <v>845</v>
      </c>
      <c r="M6" s="168"/>
      <c r="N6" s="168"/>
      <c r="O6" s="168"/>
      <c r="P6" s="169"/>
      <c r="Q6" s="146" t="s">
        <v>846</v>
      </c>
      <c r="R6" s="147"/>
      <c r="S6" s="147"/>
      <c r="T6" s="148"/>
    </row>
    <row r="7" spans="2:20" s="27" customFormat="1" ht="37.5">
      <c r="B7" s="45" t="s">
        <v>0</v>
      </c>
      <c r="C7" s="46" t="s">
        <v>847</v>
      </c>
      <c r="D7" s="45" t="s">
        <v>848</v>
      </c>
      <c r="E7" s="45" t="s">
        <v>849</v>
      </c>
      <c r="F7" s="2" t="s">
        <v>850</v>
      </c>
      <c r="G7" s="2" t="s">
        <v>851</v>
      </c>
      <c r="H7" s="47" t="s">
        <v>852</v>
      </c>
      <c r="I7" s="48" t="s">
        <v>853</v>
      </c>
      <c r="J7" s="48" t="s">
        <v>854</v>
      </c>
      <c r="K7" s="49" t="s">
        <v>855</v>
      </c>
      <c r="L7" s="104" t="s">
        <v>856</v>
      </c>
      <c r="M7" s="50" t="s">
        <v>857</v>
      </c>
      <c r="N7" s="51" t="s">
        <v>858</v>
      </c>
      <c r="O7" s="52" t="s">
        <v>859</v>
      </c>
      <c r="P7" s="53" t="s">
        <v>860</v>
      </c>
      <c r="Q7" s="54" t="s">
        <v>861</v>
      </c>
      <c r="R7" s="55" t="s">
        <v>862</v>
      </c>
      <c r="S7" s="56" t="s">
        <v>863</v>
      </c>
      <c r="T7" s="57" t="s">
        <v>864</v>
      </c>
    </row>
    <row r="8" spans="2:20" ht="37.5">
      <c r="B8" s="58" t="s">
        <v>60</v>
      </c>
      <c r="C8" s="59" t="str" cm="1">
        <f t="array" ref="C8">IF(StandardQuote[[#This Row],[Category]]="Fabrication",_xlfn.XLOOKUP(StandardQuote[[#This Row],[Category]]&amp;StandardQuote[[#This Row],[Subcategory]],Rate_Card[Category]&amp;Rate_Card[Description],Rate_Card[item ref no.],""),_xlfn.XLOOKUP(StandardQuote[[#This Row],[Category]]&amp;StandardQuote[[#This Row],[Subcategory]]&amp;StandardQuote[[#This Row],[Items Detailed Description]],Rate_Card[Category]&amp;Rate_Card[Description]&amp;Rate_Card[Additional Details],Rate_Card[item ref no.],""))</f>
        <v>4ex.27</v>
      </c>
      <c r="D8" s="58" t="s">
        <v>69</v>
      </c>
      <c r="E8" s="60" t="s">
        <v>70</v>
      </c>
      <c r="F8" s="20" cm="1">
        <f t="array" ref="F8">IF(StandardQuote[[#This Row],[Category]]="Fabrication",_xlfn.XLOOKUP($F$1&amp;StandardQuote[[#This Row],[Category]]&amp;StandardQuote[[#This Row],[Subcategory]],Rate_Card[Pricelist]&amp;Rate_Card[Category]&amp;Rate_Card[Description],Rate_Card[Ops - Brisk_Cost],""),_xlfn.XLOOKUP($F$1&amp;StandardQuote[[#This Row],[Category]]&amp;StandardQuote[[#This Row],[Subcategory]]&amp;StandardQuote[[#This Row],[Items Detailed Description]],Rate_Card[Pricelist]&amp;Rate_Card[Category]&amp;Rate_Card[Description]&amp;Rate_Card[Additional Details],Rate_Card[Ops - Brisk_Cost],""))</f>
        <v>15000</v>
      </c>
      <c r="G8" s="20" cm="1">
        <f t="array" ref="G8">IF(StandardQuote[[#This Row],[Category]]="Fabrication",_xlfn.XLOOKUP($F$1&amp;StandardQuote[[#This Row],[Category]]&amp;StandardQuote[[#This Row],[Subcategory]],Rate_Card[Pricelist]&amp;Rate_Card[Category]&amp;Rate_Card[Description],Rate_Card[Client Cost],""),_xlfn.XLOOKUP($F$1&amp;StandardQuote[[#This Row],[Category]]&amp;StandardQuote[[#This Row],[Subcategory]]&amp;StandardQuote[[#This Row],[Items Detailed Description]],Rate_Card[Pricelist]&amp;Rate_Card[Category]&amp;Rate_Card[Description]&amp;Rate_Card[Additional Details],Rate_Card[Client Cost],""))</f>
        <v>20000</v>
      </c>
      <c r="H8" s="61">
        <f>StandardQuote[[#This Row],[Rate_Card (Kshs)]]</f>
        <v>20000</v>
      </c>
      <c r="I8" s="62"/>
      <c r="J8" s="62"/>
      <c r="K8" s="22">
        <f>IFERROR(StandardQuote[[#This Row],[Client_Rate]]*(IF(StandardQuote[[#This Row],[Qty]]=0,1,StandardQuote[[#This Row],[Qty]]))*(IF(StandardQuote[[#This Row],[Duration]]=0,1,StandardQuote[[#This Row],[Duration]])),"")</f>
        <v>20000</v>
      </c>
      <c r="L8" s="63">
        <f>IFERROR(StandardQuote[[#This Row],[Ops_Cost]]*(IF(StandardQuote[[#This Row],[Qty]]=0,1,StandardQuote[[#This Row],[Qty]]))*(IF(StandardQuote[[#This Row],[Duration]]=0,1,StandardQuote[[#This Row],[Duration]])),"")</f>
        <v>15000</v>
      </c>
      <c r="M8" s="64">
        <f>IFERROR(StandardQuote[[#This Row],[Client_Rate]]-StandardQuote[[#This Row],[Rate_Card (Kshs)]],"")</f>
        <v>0</v>
      </c>
      <c r="N8" s="65">
        <f>IFERROR(StandardQuote[[#This Row],[Total Cost]]-StandardQuote[[#This Row],[Total Ops Cost KE]],"")</f>
        <v>5000</v>
      </c>
      <c r="O8" s="14">
        <f>IFERROR(StandardQuote[[#This Row],[Sales Margin (val)]]/StandardQuote[[#This Row],[Total Cost]],"")</f>
        <v>0.25</v>
      </c>
      <c r="P8" s="66"/>
      <c r="Q8" s="67" t="b">
        <v>1</v>
      </c>
      <c r="R8" s="68"/>
      <c r="S8" s="6">
        <f>IF(StandardQuote[[#This Row],[Approval]],StandardQuote[[#This Row],[Total Cost]],StandardQuote[[#This Row],[MD Proposed Cost]])</f>
        <v>20000</v>
      </c>
      <c r="T8" s="69"/>
    </row>
    <row r="9" spans="2:20">
      <c r="B9" s="70" t="s">
        <v>632</v>
      </c>
      <c r="C9" s="71" t="str" cm="1">
        <f t="array" ref="C9">IF(StandardQuote[[#This Row],[Category]]="Fabrication",_xlfn.XLOOKUP(StandardQuote[[#This Row],[Category]]&amp;StandardQuote[[#This Row],[Subcategory]],Rate_Card[Category]&amp;Rate_Card[Description],Rate_Card[item ref no.],""),_xlfn.XLOOKUP(StandardQuote[[#This Row],[Category]]&amp;StandardQuote[[#This Row],[Subcategory]]&amp;StandardQuote[[#This Row],[Items Detailed Description]],Rate_Card[Category]&amp;Rate_Card[Description]&amp;Rate_Card[Additional Details],Rate_Card[item ref no.],""))</f>
        <v>4te.1</v>
      </c>
      <c r="D9" s="70" t="s">
        <v>636</v>
      </c>
      <c r="E9" s="72" t="s">
        <v>637</v>
      </c>
      <c r="F9" s="23" cm="1">
        <f t="array" ref="F9">IF(StandardQuote[[#This Row],[Category]]="Fabrication",_xlfn.XLOOKUP($F$1&amp;StandardQuote[[#This Row],[Category]]&amp;StandardQuote[[#This Row],[Subcategory]],Rate_Card[Pricelist]&amp;Rate_Card[Category]&amp;Rate_Card[Description],Rate_Card[Ops - Brisk_Cost],""),_xlfn.XLOOKUP($F$1&amp;StandardQuote[[#This Row],[Category]]&amp;StandardQuote[[#This Row],[Subcategory]]&amp;StandardQuote[[#This Row],[Items Detailed Description]],Rate_Card[Pricelist]&amp;Rate_Card[Category]&amp;Rate_Card[Description]&amp;Rate_Card[Additional Details],Rate_Card[Ops - Brisk_Cost],""))</f>
        <v>70000</v>
      </c>
      <c r="G9" s="23" cm="1">
        <f t="array" ref="G9">IF(StandardQuote[[#This Row],[Category]]="Fabrication",_xlfn.XLOOKUP($F$1&amp;StandardQuote[[#This Row],[Category]]&amp;StandardQuote[[#This Row],[Subcategory]],Rate_Card[Pricelist]&amp;Rate_Card[Category]&amp;Rate_Card[Description],Rate_Card[Client Cost],""),_xlfn.XLOOKUP($F$1&amp;StandardQuote[[#This Row],[Category]]&amp;StandardQuote[[#This Row],[Subcategory]]&amp;StandardQuote[[#This Row],[Items Detailed Description]],Rate_Card[Pricelist]&amp;Rate_Card[Category]&amp;Rate_Card[Description]&amp;Rate_Card[Additional Details],Rate_Card[Client Cost],""))</f>
        <v>80000</v>
      </c>
      <c r="H9" s="73">
        <f>StandardQuote[[#This Row],[Rate_Card (Kshs)]]</f>
        <v>80000</v>
      </c>
      <c r="I9" s="74"/>
      <c r="J9" s="74"/>
      <c r="K9" s="102">
        <f>IFERROR(StandardQuote[[#This Row],[Client_Rate]]*(IF(StandardQuote[[#This Row],[Qty]]=0,1,StandardQuote[[#This Row],[Qty]]))*(IF(StandardQuote[[#This Row],[Duration]]=0,1,StandardQuote[[#This Row],[Duration]])),"")</f>
        <v>80000</v>
      </c>
      <c r="L9" s="75">
        <f>IFERROR(StandardQuote[[#This Row],[Ops_Cost]]*(IF(StandardQuote[[#This Row],[Qty]]=0,1,StandardQuote[[#This Row],[Qty]]))*(IF(StandardQuote[[#This Row],[Duration]]=0,1,StandardQuote[[#This Row],[Duration]])),"")</f>
        <v>70000</v>
      </c>
      <c r="M9" s="76">
        <f>IFERROR(StandardQuote[[#This Row],[Client_Rate]]-StandardQuote[[#This Row],[Rate_Card (Kshs)]],"")</f>
        <v>0</v>
      </c>
      <c r="N9" s="77">
        <f>IFERROR(StandardQuote[[#This Row],[Total Cost]]-StandardQuote[[#This Row],[Total Ops Cost KE]],"")</f>
        <v>10000</v>
      </c>
      <c r="O9" s="24">
        <f>IFERROR(StandardQuote[[#This Row],[Sales Margin (val)]]/StandardQuote[[#This Row],[Total Cost]],"")</f>
        <v>0.125</v>
      </c>
      <c r="P9" s="78"/>
      <c r="Q9" s="79" t="b">
        <v>0</v>
      </c>
      <c r="R9" s="80"/>
      <c r="S9" s="25">
        <f>IF(StandardQuote[[#This Row],[Approval]],StandardQuote[[#This Row],[Total Cost]],StandardQuote[[#This Row],[MD Proposed Cost]])</f>
        <v>0</v>
      </c>
      <c r="T9" s="81"/>
    </row>
    <row r="10" spans="2:20">
      <c r="B10" s="70" t="s">
        <v>387</v>
      </c>
      <c r="C10" s="71" t="str" cm="1">
        <f t="array" ref="C10">IF(StandardQuote[[#This Row],[Category]]="Fabrication",_xlfn.XLOOKUP(StandardQuote[[#This Row],[Category]]&amp;StandardQuote[[#This Row],[Subcategory]],Rate_Card[Category]&amp;Rate_Card[Description],Rate_Card[item ref no.],""),_xlfn.XLOOKUP(StandardQuote[[#This Row],[Category]]&amp;StandardQuote[[#This Row],[Subcategory]]&amp;StandardQuote[[#This Row],[Items Detailed Description]],Rate_Card[Category]&amp;Rate_Card[Description]&amp;Rate_Card[Additional Details],Rate_Card[item ref no.],""))</f>
        <v>4fa.1</v>
      </c>
      <c r="D10" s="70" t="s">
        <v>388</v>
      </c>
      <c r="E10" s="72"/>
      <c r="F10" s="23">
        <v>30000</v>
      </c>
      <c r="G10" s="23">
        <v>45000</v>
      </c>
      <c r="H10" s="73">
        <f>StandardQuote[[#This Row],[Rate_Card (Kshs)]]</f>
        <v>45000</v>
      </c>
      <c r="I10" s="74">
        <v>1</v>
      </c>
      <c r="J10" s="74">
        <v>2</v>
      </c>
      <c r="K10" s="102">
        <f>IFERROR(StandardQuote[[#This Row],[Client_Rate]]*(IF(StandardQuote[[#This Row],[Qty]]=0,1,StandardQuote[[#This Row],[Qty]]))*(IF(StandardQuote[[#This Row],[Duration]]=0,1,StandardQuote[[#This Row],[Duration]])),"")</f>
        <v>90000</v>
      </c>
      <c r="L10" s="75">
        <f>IFERROR(StandardQuote[[#This Row],[Ops_Cost]]*(IF(StandardQuote[[#This Row],[Qty]]=0,1,StandardQuote[[#This Row],[Qty]]))*(IF(StandardQuote[[#This Row],[Duration]]=0,1,StandardQuote[[#This Row],[Duration]])),"")</f>
        <v>60000</v>
      </c>
      <c r="M10" s="76">
        <f>IFERROR(StandardQuote[[#This Row],[Client_Rate]]-StandardQuote[[#This Row],[Rate_Card (Kshs)]],"")</f>
        <v>0</v>
      </c>
      <c r="N10" s="77">
        <f>IFERROR(StandardQuote[[#This Row],[Total Cost]]-StandardQuote[[#This Row],[Total Ops Cost KE]],"")</f>
        <v>30000</v>
      </c>
      <c r="O10" s="24">
        <f>IFERROR(StandardQuote[[#This Row],[Sales Margin (val)]]/StandardQuote[[#This Row],[Total Cost]],"")</f>
        <v>0.33333333333333331</v>
      </c>
      <c r="P10" s="78"/>
      <c r="Q10" s="79" t="b">
        <v>0</v>
      </c>
      <c r="R10" s="80"/>
      <c r="S10" s="25">
        <f>IF(StandardQuote[[#This Row],[Approval]],StandardQuote[[#This Row],[Total Cost]],StandardQuote[[#This Row],[MD Proposed Cost]])</f>
        <v>0</v>
      </c>
      <c r="T10" s="81"/>
    </row>
    <row r="11" spans="2:20">
      <c r="B11" s="70"/>
      <c r="C11" s="71" t="str" cm="1">
        <f t="array" ref="C11">IF(StandardQuote[[#This Row],[Category]]="Fabrication",_xlfn.XLOOKUP(StandardQuote[[#This Row],[Category]]&amp;StandardQuote[[#This Row],[Subcategory]],Rate_Card[Category]&amp;Rate_Card[Description],Rate_Card[item ref no.],""),_xlfn.XLOOKUP(StandardQuote[[#This Row],[Category]]&amp;StandardQuote[[#This Row],[Subcategory]]&amp;StandardQuote[[#This Row],[Items Detailed Description]],Rate_Card[Category]&amp;Rate_Card[Description]&amp;Rate_Card[Additional Details],Rate_Card[item ref no.],""))</f>
        <v/>
      </c>
      <c r="D11" s="70"/>
      <c r="E11" s="72"/>
      <c r="F11" s="23" t="str" cm="1">
        <f t="array" ref="F11">IF(StandardQuote[[#This Row],[Category]]="Fabrication",_xlfn.XLOOKUP($F$1&amp;StandardQuote[[#This Row],[Category]]&amp;StandardQuote[[#This Row],[Subcategory]],Rate_Card[Pricelist]&amp;Rate_Card[Category]&amp;Rate_Card[Description],Rate_Card[Ops - Brisk_Cost],""),_xlfn.XLOOKUP($F$1&amp;StandardQuote[[#This Row],[Category]]&amp;StandardQuote[[#This Row],[Subcategory]]&amp;StandardQuote[[#This Row],[Items Detailed Description]],Rate_Card[Pricelist]&amp;Rate_Card[Category]&amp;Rate_Card[Description]&amp;Rate_Card[Additional Details],Rate_Card[Ops - Brisk_Cost],""))</f>
        <v/>
      </c>
      <c r="G11" s="23" t="str" cm="1">
        <f t="array" ref="G11">IF(StandardQuote[[#This Row],[Category]]="Fabrication",_xlfn.XLOOKUP($F$1&amp;StandardQuote[[#This Row],[Category]]&amp;StandardQuote[[#This Row],[Subcategory]],Rate_Card[Pricelist]&amp;Rate_Card[Category]&amp;Rate_Card[Description],Rate_Card[Client Cost],""),_xlfn.XLOOKUP($F$1&amp;StandardQuote[[#This Row],[Category]]&amp;StandardQuote[[#This Row],[Subcategory]]&amp;StandardQuote[[#This Row],[Items Detailed Description]],Rate_Card[Pricelist]&amp;Rate_Card[Category]&amp;Rate_Card[Description]&amp;Rate_Card[Additional Details],Rate_Card[Client Cost],""))</f>
        <v/>
      </c>
      <c r="H11" s="73" t="str">
        <f>StandardQuote[[#This Row],[Rate_Card (Kshs)]]</f>
        <v/>
      </c>
      <c r="I11" s="74"/>
      <c r="J11" s="74"/>
      <c r="K11" s="102" t="str">
        <f>IFERROR(StandardQuote[[#This Row],[Client_Rate]]*(IF(StandardQuote[[#This Row],[Qty]]=0,1,StandardQuote[[#This Row],[Qty]]))*(IF(StandardQuote[[#This Row],[Duration]]=0,1,StandardQuote[[#This Row],[Duration]])),"")</f>
        <v/>
      </c>
      <c r="L11" s="75" t="str">
        <f>IFERROR(StandardQuote[[#This Row],[Ops_Cost]]*(IF(StandardQuote[[#This Row],[Qty]]=0,1,StandardQuote[[#This Row],[Qty]]))*(IF(StandardQuote[[#This Row],[Duration]]=0,1,StandardQuote[[#This Row],[Duration]])),"")</f>
        <v/>
      </c>
      <c r="M11" s="76" t="str">
        <f>IFERROR(StandardQuote[[#This Row],[Client_Rate]]-StandardQuote[[#This Row],[Rate_Card (Kshs)]],"")</f>
        <v/>
      </c>
      <c r="N11" s="77" t="str">
        <f>IFERROR(StandardQuote[[#This Row],[Total Cost]]-StandardQuote[[#This Row],[Total Ops Cost KE]],"")</f>
        <v/>
      </c>
      <c r="O11" s="24" t="str">
        <f>IFERROR(StandardQuote[[#This Row],[Sales Margin (val)]]/StandardQuote[[#This Row],[Total Cost]],"")</f>
        <v/>
      </c>
      <c r="P11" s="78"/>
      <c r="Q11" s="79" t="b">
        <v>0</v>
      </c>
      <c r="R11" s="80"/>
      <c r="S11" s="25">
        <f>IF(StandardQuote[[#This Row],[Approval]],StandardQuote[[#This Row],[Total Cost]],StandardQuote[[#This Row],[MD Proposed Cost]])</f>
        <v>0</v>
      </c>
      <c r="T11" s="81"/>
    </row>
    <row r="12" spans="2:20">
      <c r="B12" s="82"/>
      <c r="C12" s="83" t="str" cm="1">
        <f t="array" ref="C12">IF(StandardQuote[[#This Row],[Category]]="Fabrication",_xlfn.XLOOKUP(StandardQuote[[#This Row],[Category]]&amp;StandardQuote[[#This Row],[Subcategory]],Rate_Card[Category]&amp;Rate_Card[Description],Rate_Card[item ref no.],""),_xlfn.XLOOKUP(StandardQuote[[#This Row],[Category]]&amp;StandardQuote[[#This Row],[Subcategory]]&amp;StandardQuote[[#This Row],[Items Detailed Description]],Rate_Card[Category]&amp;Rate_Card[Description]&amp;Rate_Card[Additional Details],Rate_Card[item ref no.],""))</f>
        <v/>
      </c>
      <c r="D12" s="82"/>
      <c r="E12" s="82"/>
      <c r="F12" s="21" t="str" cm="1">
        <f t="array" ref="F12">IF(StandardQuote[[#This Row],[Category]]="Fabrication",_xlfn.XLOOKUP($F$1&amp;StandardQuote[[#This Row],[Category]]&amp;StandardQuote[[#This Row],[Subcategory]],Rate_Card[Pricelist]&amp;Rate_Card[Category]&amp;Rate_Card[Description],Rate_Card[Ops - Brisk_Cost],""),_xlfn.XLOOKUP($F$1&amp;StandardQuote[[#This Row],[Category]]&amp;StandardQuote[[#This Row],[Subcategory]]&amp;StandardQuote[[#This Row],[Items Detailed Description]],Rate_Card[Pricelist]&amp;Rate_Card[Category]&amp;Rate_Card[Description]&amp;Rate_Card[Additional Details],Rate_Card[Ops - Brisk_Cost],""))</f>
        <v/>
      </c>
      <c r="G12" s="21" t="str" cm="1">
        <f t="array" ref="G12">IF(StandardQuote[[#This Row],[Category]]="Fabrication",_xlfn.XLOOKUP($F$1&amp;StandardQuote[[#This Row],[Category]]&amp;StandardQuote[[#This Row],[Subcategory]],Rate_Card[Pricelist]&amp;Rate_Card[Category]&amp;Rate_Card[Description],Rate_Card[Client Cost],""),_xlfn.XLOOKUP($F$1&amp;StandardQuote[[#This Row],[Category]]&amp;StandardQuote[[#This Row],[Subcategory]]&amp;StandardQuote[[#This Row],[Items Detailed Description]],Rate_Card[Pricelist]&amp;Rate_Card[Category]&amp;Rate_Card[Description]&amp;Rate_Card[Additional Details],Rate_Card[Client Cost],""))</f>
        <v/>
      </c>
      <c r="H12" s="73" t="str">
        <f>StandardQuote[[#This Row],[Rate_Card (Kshs)]]</f>
        <v/>
      </c>
      <c r="I12" s="99"/>
      <c r="J12" s="99"/>
      <c r="K12" s="103" t="str">
        <f>IFERROR(StandardQuote[[#This Row],[Client_Rate]]*(IF(StandardQuote[[#This Row],[Qty]]=0,1,StandardQuote[[#This Row],[Qty]]))*(IF(StandardQuote[[#This Row],[Duration]]=0,1,StandardQuote[[#This Row],[Duration]])),"")</f>
        <v/>
      </c>
      <c r="L12" s="16" t="str">
        <f>IFERROR(StandardQuote[[#This Row],[Ops_Cost]]*(IF(StandardQuote[[#This Row],[Qty]]=0,1,StandardQuote[[#This Row],[Qty]]))*(IF(StandardQuote[[#This Row],[Duration]]=0,1,StandardQuote[[#This Row],[Duration]])),"")</f>
        <v/>
      </c>
      <c r="M12" s="86" t="str">
        <f>IFERROR(StandardQuote[[#This Row],[Client_Rate]]-StandardQuote[[#This Row],[Rate_Card (Kshs)]],"")</f>
        <v/>
      </c>
      <c r="N12" s="87" t="str">
        <f>IFERROR(StandardQuote[[#This Row],[Total Cost]]-StandardQuote[[#This Row],[Total Ops Cost KE]],"")</f>
        <v/>
      </c>
      <c r="O12" s="15" t="str">
        <f>IFERROR(StandardQuote[[#This Row],[Sales Margin (val)]]/StandardQuote[[#This Row],[Total Cost]],"")</f>
        <v/>
      </c>
      <c r="P12" s="88"/>
      <c r="Q12" s="100" t="b">
        <v>0</v>
      </c>
      <c r="R12" s="90"/>
      <c r="S12" s="7">
        <f>IF(StandardQuote[[#This Row],[Approval]],StandardQuote[[#This Row],[Total Cost]],StandardQuote[[#This Row],[MD Proposed Cost]])</f>
        <v>0</v>
      </c>
      <c r="T12" s="91"/>
    </row>
    <row r="13" spans="2:20" ht="12.95" thickBot="1">
      <c r="B13" s="82"/>
      <c r="C13" s="83"/>
      <c r="D13" s="82"/>
      <c r="E13" s="84"/>
      <c r="F13" s="21"/>
      <c r="G13" s="21"/>
      <c r="H13" s="85"/>
      <c r="I13" s="82"/>
      <c r="J13" s="82"/>
      <c r="K13" s="103"/>
      <c r="L13" s="16"/>
      <c r="M13" s="86"/>
      <c r="N13" s="87"/>
      <c r="O13" s="15"/>
      <c r="P13" s="88"/>
      <c r="Q13" s="89"/>
      <c r="R13" s="90"/>
      <c r="S13" s="7"/>
      <c r="T13" s="91"/>
    </row>
    <row r="14" spans="2:20" ht="23.1" customHeight="1" thickTop="1">
      <c r="B14" s="137" t="s">
        <v>865</v>
      </c>
      <c r="C14" s="138"/>
      <c r="D14" s="138"/>
      <c r="E14" s="138"/>
      <c r="F14" s="138"/>
      <c r="G14" s="138"/>
      <c r="H14" s="138"/>
      <c r="I14" s="138"/>
      <c r="J14" s="139"/>
      <c r="K14" s="8">
        <f>SUM(StandardQuote[Total Cost])</f>
        <v>190000</v>
      </c>
      <c r="L14" s="3">
        <f>SUM(StandardQuote[Total Ops Cost KE])</f>
        <v>145000</v>
      </c>
      <c r="M14" s="5">
        <f>SUM(StandardQuote[Var (Rate Card Vs Client)])</f>
        <v>0</v>
      </c>
      <c r="N14" s="3">
        <f>SUM(StandardQuote[Sales Margin (val)])</f>
        <v>45000</v>
      </c>
      <c r="O14" s="4">
        <f>IFERROR(1-L14/K14,0)</f>
        <v>0.23684210526315785</v>
      </c>
      <c r="P14" s="13"/>
      <c r="Q14" s="10"/>
      <c r="R14" s="11">
        <f t="shared" ref="R14:R16" si="0">IF(O14,I14,Q14)</f>
        <v>0</v>
      </c>
      <c r="S14" s="92">
        <f>SUM(StandardQuote[Final Approved])</f>
        <v>20000</v>
      </c>
      <c r="T14" s="93"/>
    </row>
    <row r="15" spans="2:20" ht="23.1" customHeight="1">
      <c r="B15" s="140">
        <v>0.15</v>
      </c>
      <c r="C15" s="141"/>
      <c r="D15" s="141"/>
      <c r="E15" s="141"/>
      <c r="F15" s="141"/>
      <c r="G15" s="141"/>
      <c r="H15" s="141"/>
      <c r="I15" s="141"/>
      <c r="J15" s="142"/>
      <c r="K15" s="9">
        <f>K14*B15</f>
        <v>28500</v>
      </c>
      <c r="L15" s="94"/>
      <c r="M15" s="94"/>
      <c r="N15" s="94"/>
      <c r="O15" s="94"/>
      <c r="P15" s="95"/>
      <c r="Q15" s="96"/>
      <c r="R15" s="12">
        <f t="shared" si="0"/>
        <v>0</v>
      </c>
      <c r="S15" s="97"/>
      <c r="T15" s="27"/>
    </row>
    <row r="16" spans="2:20" ht="23.1" customHeight="1">
      <c r="B16" s="143" t="s">
        <v>866</v>
      </c>
      <c r="C16" s="144"/>
      <c r="D16" s="144"/>
      <c r="E16" s="144"/>
      <c r="F16" s="144"/>
      <c r="G16" s="144"/>
      <c r="H16" s="144"/>
      <c r="I16" s="144"/>
      <c r="J16" s="145"/>
      <c r="K16" s="9">
        <f>SUM(K14:K15)</f>
        <v>218500</v>
      </c>
      <c r="L16" s="94"/>
      <c r="M16" s="94"/>
      <c r="N16" s="94"/>
      <c r="O16" s="94"/>
      <c r="P16" s="95"/>
      <c r="Q16" s="96"/>
      <c r="R16" s="12">
        <f t="shared" si="0"/>
        <v>0</v>
      </c>
      <c r="S16" s="97"/>
      <c r="T16" s="27"/>
    </row>
    <row r="17" spans="2:17">
      <c r="C17" s="28"/>
      <c r="D17" s="28"/>
      <c r="E17" s="29"/>
      <c r="F17" s="33"/>
      <c r="G17" s="31"/>
      <c r="H17" s="30"/>
      <c r="I17" s="31"/>
      <c r="J17" s="1"/>
      <c r="M17" s="1"/>
    </row>
    <row r="18" spans="2:17">
      <c r="B18" s="28" t="s">
        <v>867</v>
      </c>
      <c r="C18" s="28"/>
      <c r="D18" s="28"/>
      <c r="E18" s="29"/>
      <c r="F18" s="33"/>
      <c r="G18" s="31"/>
      <c r="H18" s="30"/>
      <c r="I18" s="32"/>
      <c r="J18" s="1"/>
      <c r="L18" s="149" t="s">
        <v>868</v>
      </c>
      <c r="M18" s="150"/>
      <c r="N18" s="150"/>
      <c r="O18" s="150"/>
      <c r="P18" s="150"/>
      <c r="Q18" s="151"/>
    </row>
    <row r="19" spans="2:17">
      <c r="B19" s="28" t="s">
        <v>869</v>
      </c>
      <c r="C19" s="28"/>
      <c r="D19" s="28"/>
      <c r="E19" s="29"/>
      <c r="F19" s="33"/>
      <c r="G19" s="31"/>
      <c r="H19" s="30"/>
      <c r="J19" s="1"/>
      <c r="L19" s="152" t="s">
        <v>870</v>
      </c>
      <c r="M19" s="153"/>
      <c r="N19" s="153"/>
      <c r="O19" s="153"/>
      <c r="P19" s="153"/>
      <c r="Q19" s="154"/>
    </row>
    <row r="20" spans="2:17">
      <c r="B20" s="28" t="s">
        <v>871</v>
      </c>
      <c r="C20" s="28"/>
      <c r="D20" s="28"/>
      <c r="E20" s="29"/>
      <c r="F20" s="33"/>
      <c r="G20" s="31"/>
      <c r="H20" s="30"/>
      <c r="I20" s="33"/>
      <c r="J20" s="1"/>
      <c r="L20" s="152" t="s">
        <v>872</v>
      </c>
      <c r="M20" s="153"/>
      <c r="N20" s="153"/>
      <c r="O20" s="153"/>
      <c r="P20" s="153"/>
      <c r="Q20" s="154"/>
    </row>
    <row r="21" spans="2:17">
      <c r="B21" s="28" t="s">
        <v>873</v>
      </c>
      <c r="E21" s="26"/>
      <c r="F21" s="98"/>
      <c r="G21" s="31"/>
      <c r="H21" s="34"/>
      <c r="I21" s="31"/>
      <c r="J21" s="1"/>
      <c r="L21" s="152" t="s">
        <v>874</v>
      </c>
      <c r="M21" s="153"/>
      <c r="N21" s="153"/>
      <c r="O21" s="153"/>
      <c r="P21" s="153"/>
      <c r="Q21" s="154"/>
    </row>
    <row r="22" spans="2:17">
      <c r="E22" s="26"/>
      <c r="F22" s="98"/>
      <c r="G22" s="31"/>
      <c r="H22" s="34"/>
      <c r="I22" s="31"/>
      <c r="J22" s="1"/>
      <c r="M22" s="1"/>
    </row>
    <row r="23" spans="2:17">
      <c r="E23" s="26"/>
      <c r="F23" s="98"/>
      <c r="G23" s="31"/>
      <c r="H23" s="34"/>
      <c r="I23" s="31"/>
      <c r="J23" s="1"/>
      <c r="M23" s="1"/>
    </row>
  </sheetData>
  <sheetProtection formatCells="0" formatColumns="0" formatRows="0" insertRows="0" deleteRows="0" sort="0" autoFilter="0"/>
  <mergeCells count="18">
    <mergeCell ref="B2:B5"/>
    <mergeCell ref="C2:D2"/>
    <mergeCell ref="C3:D3"/>
    <mergeCell ref="C4:D4"/>
    <mergeCell ref="C5:D5"/>
    <mergeCell ref="L19:Q19"/>
    <mergeCell ref="L20:Q20"/>
    <mergeCell ref="L21:Q21"/>
    <mergeCell ref="N2:R2"/>
    <mergeCell ref="N3:R3"/>
    <mergeCell ref="N4:R4"/>
    <mergeCell ref="N5:R5"/>
    <mergeCell ref="L6:P6"/>
    <mergeCell ref="B14:J14"/>
    <mergeCell ref="B15:J15"/>
    <mergeCell ref="B16:J16"/>
    <mergeCell ref="Q6:T6"/>
    <mergeCell ref="L18:Q18"/>
  </mergeCells>
  <conditionalFormatting sqref="N8:O12">
    <cfRule type="cellIs" dxfId="131" priority="6" operator="lessThan">
      <formula>0</formula>
    </cfRule>
  </conditionalFormatting>
  <conditionalFormatting sqref="O8:O12">
    <cfRule type="cellIs" dxfId="130" priority="1" operator="lessThan">
      <formula>0.4</formula>
    </cfRule>
  </conditionalFormatting>
  <conditionalFormatting sqref="O14">
    <cfRule type="cellIs" dxfId="129" priority="2" operator="lessThan">
      <formula>0.4</formula>
    </cfRule>
    <cfRule type="cellIs" dxfId="128" priority="3" operator="lessThan">
      <formula>0</formula>
    </cfRule>
  </conditionalFormatting>
  <dataValidations count="4">
    <dataValidation type="decimal" allowBlank="1" showInputMessage="1" showErrorMessage="1" prompt="Just write the Agency fee as a percentage e.g 15%_x000a_" sqref="B15:J15" xr:uid="{5167B9D7-FDD3-4810-A145-857FDF5412F9}">
      <formula1>0</formula1>
      <formula2>1</formula2>
    </dataValidation>
    <dataValidation type="list" showInputMessage="1" showErrorMessage="1" error="You have to pick from the List" prompt="Pick from the list" sqref="B8:B12" xr:uid="{C5EAF023-CB0D-4881-83C1-53D03E8CB37F}">
      <formula1>DDL(mylist)</formula1>
    </dataValidation>
    <dataValidation type="list" errorStyle="warning" showInputMessage="1" showErrorMessage="1" error="This is not in our list. You may proceed but will not have the Ops Costs populated" prompt="Pick from the List. Depends on the Category and Subcategory" sqref="E8:E12" xr:uid="{8E3D4162-A07B-4960-B017-ADAE4598F8C8}">
      <formula1>DDL(mylist,B8,D8)</formula1>
    </dataValidation>
    <dataValidation type="list" showInputMessage="1" showErrorMessage="1" error="You have to pick from the list of Subcategories" prompt="Pick from the list. Depends on the category selected" sqref="D8:D12" xr:uid="{F5FBA1F1-5210-47F9-AD40-5F63A66F1874}">
      <formula1>DDL(mylist,B8)</formula1>
    </dataValidation>
  </dataValidations>
  <pageMargins left="0.25" right="0.25" top="0.75" bottom="0.75" header="0.3" footer="0.3"/>
  <pageSetup scale="34" fitToHeight="0" orientation="portrait" r:id="rId1"/>
  <headerFooter>
    <oddHeader>&amp;R&amp;A</oddHeader>
    <oddFooter>&amp;L&amp;"-,Italic"Growing your Business&amp;RPage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ExportToPDF">
                <anchor moveWithCells="1" sizeWithCells="1">
                  <from>
                    <xdr:col>3</xdr:col>
                    <xdr:colOff>0</xdr:colOff>
                    <xdr:row>5</xdr:row>
                    <xdr:rowOff>12700</xdr:rowOff>
                  </from>
                  <to>
                    <xdr:col>3</xdr:col>
                    <xdr:colOff>1955800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ExportAllSheetsToPDF">
                <anchor moveWithCells="1" sizeWithCells="1">
                  <from>
                    <xdr:col>4</xdr:col>
                    <xdr:colOff>381000</xdr:colOff>
                    <xdr:row>5</xdr:row>
                    <xdr:rowOff>12700</xdr:rowOff>
                  </from>
                  <to>
                    <xdr:col>5</xdr:col>
                    <xdr:colOff>831850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ExportAllSheetsToXLSX">
                <anchor moveWithCells="1" sizeWithCells="1">
                  <from>
                    <xdr:col>6</xdr:col>
                    <xdr:colOff>615950</xdr:colOff>
                    <xdr:row>5</xdr:row>
                    <xdr:rowOff>12700</xdr:rowOff>
                  </from>
                  <to>
                    <xdr:col>10</xdr:col>
                    <xdr:colOff>920750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8089992-5697-495C-9E01-E449F5DCA4FD}">
          <x14:formula1>
            <xm:f>_xlfn.ANCHORARRAY('Rate_Card'!$K$1)</xm:f>
          </x14:formula1>
          <xm:sqref>F1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FFBB1-E730-43A0-8F38-A347826189A4}">
  <sheetPr codeName="Sheet14">
    <tabColor rgb="FFFFFF00"/>
    <pageSetUpPr fitToPage="1"/>
  </sheetPr>
  <dimension ref="B1:T67"/>
  <sheetViews>
    <sheetView showGridLines="0" zoomScaleNormal="100" workbookViewId="0">
      <selection activeCell="E8" sqref="E8"/>
    </sheetView>
  </sheetViews>
  <sheetFormatPr defaultColWidth="8.7109375" defaultRowHeight="12.6"/>
  <cols>
    <col min="1" max="1" width="3.140625" style="26" customWidth="1"/>
    <col min="2" max="2" width="15.140625" style="26" customWidth="1"/>
    <col min="3" max="3" width="8.42578125" style="26" customWidth="1"/>
    <col min="4" max="4" width="32.7109375" style="26" customWidth="1"/>
    <col min="5" max="5" width="30.140625" style="1" customWidth="1"/>
    <col min="6" max="6" width="13.140625" style="1" customWidth="1"/>
    <col min="7" max="7" width="12.85546875" style="1" customWidth="1"/>
    <col min="8" max="8" width="11.7109375" style="26" customWidth="1"/>
    <col min="9" max="9" width="8.7109375" style="26"/>
    <col min="10" max="10" width="8.5703125" style="26" customWidth="1"/>
    <col min="11" max="11" width="13.5703125" style="26" customWidth="1"/>
    <col min="12" max="12" width="16.85546875" style="26" bestFit="1" customWidth="1"/>
    <col min="13" max="13" width="12.140625" style="26" customWidth="1"/>
    <col min="14" max="14" width="10.85546875" style="26" bestFit="1" customWidth="1"/>
    <col min="15" max="15" width="10.85546875" style="26" customWidth="1"/>
    <col min="16" max="16" width="31.42578125" style="26" customWidth="1"/>
    <col min="17" max="17" width="8.7109375" style="26"/>
    <col min="18" max="19" width="11" style="26" customWidth="1"/>
    <col min="20" max="20" width="28.5703125" style="26" customWidth="1"/>
    <col min="21" max="16384" width="8.7109375" style="26"/>
  </cols>
  <sheetData>
    <row r="1" spans="2:20" ht="12.95" thickBot="1">
      <c r="E1" s="35" t="s">
        <v>827</v>
      </c>
      <c r="F1" s="36" t="s">
        <v>824</v>
      </c>
    </row>
    <row r="2" spans="2:20" ht="21.6" customHeight="1">
      <c r="B2" s="176"/>
      <c r="C2" s="170" t="s">
        <v>828</v>
      </c>
      <c r="D2" s="171"/>
      <c r="E2" s="17" t="s">
        <v>829</v>
      </c>
      <c r="F2" s="117" t="s">
        <v>875</v>
      </c>
      <c r="G2" s="121"/>
      <c r="H2" s="121"/>
      <c r="I2" s="121"/>
      <c r="J2" s="121"/>
      <c r="K2" s="133"/>
      <c r="M2" s="37" t="s">
        <v>830</v>
      </c>
      <c r="N2" s="155" t="s">
        <v>831</v>
      </c>
      <c r="O2" s="156"/>
      <c r="P2" s="156"/>
      <c r="Q2" s="156"/>
      <c r="R2" s="157"/>
    </row>
    <row r="3" spans="2:20" ht="21.6" customHeight="1">
      <c r="B3" s="177"/>
      <c r="C3" s="172" t="s">
        <v>832</v>
      </c>
      <c r="D3" s="173"/>
      <c r="E3" s="18" t="s">
        <v>833</v>
      </c>
      <c r="F3" s="118" t="s">
        <v>876</v>
      </c>
      <c r="G3" s="124"/>
      <c r="H3" s="124"/>
      <c r="I3" s="124"/>
      <c r="J3" s="124"/>
      <c r="K3" s="134"/>
      <c r="M3" s="38" t="s">
        <v>835</v>
      </c>
      <c r="N3" s="158" t="s">
        <v>836</v>
      </c>
      <c r="O3" s="159"/>
      <c r="P3" s="159"/>
      <c r="Q3" s="159"/>
      <c r="R3" s="160"/>
    </row>
    <row r="4" spans="2:20" ht="21.6" customHeight="1">
      <c r="B4" s="177"/>
      <c r="C4" s="172" t="s">
        <v>837</v>
      </c>
      <c r="D4" s="173"/>
      <c r="E4" s="18" t="s">
        <v>838</v>
      </c>
      <c r="F4" s="119" t="s">
        <v>877</v>
      </c>
      <c r="G4" s="127"/>
      <c r="H4" s="127"/>
      <c r="I4" s="127"/>
      <c r="J4" s="127"/>
      <c r="K4" s="135"/>
      <c r="M4" s="38" t="s">
        <v>840</v>
      </c>
      <c r="N4" s="161">
        <v>45929</v>
      </c>
      <c r="O4" s="162"/>
      <c r="P4" s="162"/>
      <c r="Q4" s="162"/>
      <c r="R4" s="163"/>
    </row>
    <row r="5" spans="2:20" ht="21.6" customHeight="1" thickBot="1">
      <c r="B5" s="178"/>
      <c r="C5" s="174" t="s">
        <v>841</v>
      </c>
      <c r="D5" s="175"/>
      <c r="E5" s="19" t="s">
        <v>842</v>
      </c>
      <c r="F5" s="120" t="s">
        <v>878</v>
      </c>
      <c r="G5" s="130"/>
      <c r="H5" s="130"/>
      <c r="I5" s="130"/>
      <c r="J5" s="130"/>
      <c r="K5" s="136"/>
      <c r="M5" s="39" t="s">
        <v>844</v>
      </c>
      <c r="N5" s="164">
        <v>45931</v>
      </c>
      <c r="O5" s="165"/>
      <c r="P5" s="165"/>
      <c r="Q5" s="165"/>
      <c r="R5" s="166"/>
    </row>
    <row r="6" spans="2:20" ht="16.5" customHeight="1">
      <c r="C6" s="41"/>
      <c r="D6" s="101"/>
      <c r="E6" s="26"/>
      <c r="F6" s="42"/>
      <c r="G6" s="43"/>
      <c r="H6" s="44"/>
      <c r="I6" s="44"/>
      <c r="J6" s="1"/>
      <c r="K6" s="40"/>
      <c r="L6" s="167" t="s">
        <v>845</v>
      </c>
      <c r="M6" s="168"/>
      <c r="N6" s="168"/>
      <c r="O6" s="168"/>
      <c r="P6" s="169"/>
      <c r="Q6" s="146" t="s">
        <v>846</v>
      </c>
      <c r="R6" s="147"/>
      <c r="S6" s="147"/>
      <c r="T6" s="148"/>
    </row>
    <row r="7" spans="2:20" s="27" customFormat="1" ht="37.5">
      <c r="B7" s="45" t="s">
        <v>0</v>
      </c>
      <c r="C7" s="46" t="s">
        <v>847</v>
      </c>
      <c r="D7" s="45" t="s">
        <v>848</v>
      </c>
      <c r="E7" s="45" t="s">
        <v>849</v>
      </c>
      <c r="F7" s="2" t="s">
        <v>850</v>
      </c>
      <c r="G7" s="2" t="s">
        <v>851</v>
      </c>
      <c r="H7" s="47" t="s">
        <v>852</v>
      </c>
      <c r="I7" s="48" t="s">
        <v>853</v>
      </c>
      <c r="J7" s="48" t="s">
        <v>854</v>
      </c>
      <c r="K7" s="49" t="s">
        <v>855</v>
      </c>
      <c r="L7" s="104" t="s">
        <v>856</v>
      </c>
      <c r="M7" s="50" t="s">
        <v>857</v>
      </c>
      <c r="N7" s="51" t="s">
        <v>858</v>
      </c>
      <c r="O7" s="52" t="s">
        <v>859</v>
      </c>
      <c r="P7" s="53" t="s">
        <v>860</v>
      </c>
      <c r="Q7" s="54" t="s">
        <v>861</v>
      </c>
      <c r="R7" s="55" t="s">
        <v>862</v>
      </c>
      <c r="S7" s="56" t="s">
        <v>863</v>
      </c>
      <c r="T7" s="57" t="s">
        <v>864</v>
      </c>
    </row>
    <row r="8" spans="2:20" ht="24.95">
      <c r="B8" s="58" t="s">
        <v>639</v>
      </c>
      <c r="C8" s="59" t="str" cm="1">
        <f t="array" ref="C8">IF(GT[[#This Row],[Category]]="Fabrication",_xlfn.XLOOKUP(GT[[#This Row],[Category]]&amp;GT[[#This Row],[Subcategory]],Rate_Card[Category]&amp;Rate_Card[Description],Rate_Card[item ref no.],""),_xlfn.XLOOKUP(GT[[#This Row],[Category]]&amp;GT[[#This Row],[Subcategory]]&amp;GT[[#This Row],[Items Detailed Description]],Rate_Card[Category]&amp;Rate_Card[Description]&amp;Rate_Card[Additional Details],Rate_Card[item ref no.],""))</f>
        <v>4wa.5</v>
      </c>
      <c r="D8" s="58" t="s">
        <v>662</v>
      </c>
      <c r="E8" s="60" t="s">
        <v>663</v>
      </c>
      <c r="F8" s="20" cm="1">
        <f t="array" ref="F8">IF(GT[[#This Row],[Category]]="Fabrication",_xlfn.XLOOKUP($F$1&amp;GT[[#This Row],[Category]]&amp;GT[[#This Row],[Subcategory]],Rate_Card[Pricelist]&amp;Rate_Card[Category]&amp;Rate_Card[Description],Rate_Card[Ops - Brisk_Cost],""),_xlfn.XLOOKUP($F$1&amp;GT[[#This Row],[Category]]&amp;GT[[#This Row],[Subcategory]]&amp;GT[[#This Row],[Items Detailed Description]],Rate_Card[Pricelist]&amp;Rate_Card[Category]&amp;Rate_Card[Description]&amp;Rate_Card[Additional Details],Rate_Card[Ops - Brisk_Cost],""))</f>
        <v>300</v>
      </c>
      <c r="G8" s="20" cm="1">
        <f t="array" ref="G8">IF(GT[[#This Row],[Category]]="Fabrication",_xlfn.XLOOKUP($F$1&amp;GT[[#This Row],[Category]]&amp;GT[[#This Row],[Subcategory]],Rate_Card[Pricelist]&amp;Rate_Card[Category]&amp;Rate_Card[Description],Rate_Card[Client Cost],""),_xlfn.XLOOKUP($F$1&amp;GT[[#This Row],[Category]]&amp;GT[[#This Row],[Subcategory]]&amp;GT[[#This Row],[Items Detailed Description]],Rate_Card[Pricelist]&amp;Rate_Card[Category]&amp;Rate_Card[Description]&amp;Rate_Card[Additional Details],Rate_Card[Client Cost],""))</f>
        <v>500</v>
      </c>
      <c r="H8" s="61">
        <f>GT[[#This Row],[Rate_Card (Kshs)]]</f>
        <v>500</v>
      </c>
      <c r="I8" s="62"/>
      <c r="J8" s="62"/>
      <c r="K8" s="22">
        <f>IFERROR(GT[[#This Row],[Client_Rate]]*(IF(GT[[#This Row],[Qty]]=0,1,GT[[#This Row],[Qty]]))*(IF(GT[[#This Row],[Duration]]=0,1,GT[[#This Row],[Duration]])),"")</f>
        <v>500</v>
      </c>
      <c r="L8" s="63">
        <f>IFERROR(GT[[#This Row],[Ops_Cost]]*(IF(GT[[#This Row],[Qty]]=0,1,GT[[#This Row],[Qty]]))*(IF(GT[[#This Row],[Duration]]=0,1,GT[[#This Row],[Duration]])),"")</f>
        <v>300</v>
      </c>
      <c r="M8" s="64">
        <f>IFERROR(GT[[#This Row],[Client_Rate]]-GT[[#This Row],[Rate_Card (Kshs)]],"")</f>
        <v>0</v>
      </c>
      <c r="N8" s="65">
        <f>IFERROR(GT[[#This Row],[Total Cost]]-GT[[#This Row],[Total Ops Cost KE]],"")</f>
        <v>200</v>
      </c>
      <c r="O8" s="14">
        <f>IFERROR(GT[[#This Row],[Sales Margin (val)]]/GT[[#This Row],[Total Cost]],"")</f>
        <v>0.4</v>
      </c>
      <c r="P8" s="66"/>
      <c r="Q8" s="67" t="b">
        <v>1</v>
      </c>
      <c r="R8" s="68"/>
      <c r="S8" s="6">
        <f>IF(GT[[#This Row],[Approval]],GT[[#This Row],[Total Cost]],GT[[#This Row],[MD Proposed Cost]])</f>
        <v>500</v>
      </c>
      <c r="T8" s="69"/>
    </row>
    <row r="9" spans="2:20">
      <c r="B9" s="70" t="s">
        <v>639</v>
      </c>
      <c r="C9" s="71" t="str" cm="1">
        <f t="array" ref="C9">IF(GT[[#This Row],[Category]]="Fabrication",_xlfn.XLOOKUP(GT[[#This Row],[Category]]&amp;GT[[#This Row],[Subcategory]],Rate_Card[Category]&amp;Rate_Card[Description],Rate_Card[item ref no.],""),_xlfn.XLOOKUP(GT[[#This Row],[Category]]&amp;GT[[#This Row],[Subcategory]]&amp;GT[[#This Row],[Items Detailed Description]],Rate_Card[Category]&amp;Rate_Card[Description]&amp;Rate_Card[Additional Details],Rate_Card[item ref no.],""))</f>
        <v>4wa.37</v>
      </c>
      <c r="D9" s="70" t="s">
        <v>768</v>
      </c>
      <c r="E9" s="72" t="s">
        <v>769</v>
      </c>
      <c r="F9" s="23" cm="1">
        <f t="array" ref="F9">IF(GT[[#This Row],[Category]]="Fabrication",_xlfn.XLOOKUP($F$1&amp;GT[[#This Row],[Category]]&amp;GT[[#This Row],[Subcategory]],Rate_Card[Pricelist]&amp;Rate_Card[Category]&amp;Rate_Card[Description],Rate_Card[Ops - Brisk_Cost],""),_xlfn.XLOOKUP($F$1&amp;GT[[#This Row],[Category]]&amp;GT[[#This Row],[Subcategory]]&amp;GT[[#This Row],[Items Detailed Description]],Rate_Card[Pricelist]&amp;Rate_Card[Category]&amp;Rate_Card[Description]&amp;Rate_Card[Additional Details],Rate_Card[Ops - Brisk_Cost],""))</f>
        <v>0</v>
      </c>
      <c r="G9" s="23" cm="1">
        <f t="array" ref="G9">IF(GT[[#This Row],[Category]]="Fabrication",_xlfn.XLOOKUP($F$1&amp;GT[[#This Row],[Category]]&amp;GT[[#This Row],[Subcategory]],Rate_Card[Pricelist]&amp;Rate_Card[Category]&amp;Rate_Card[Description],Rate_Card[Client Cost],""),_xlfn.XLOOKUP($F$1&amp;GT[[#This Row],[Category]]&amp;GT[[#This Row],[Subcategory]]&amp;GT[[#This Row],[Items Detailed Description]],Rate_Card[Pricelist]&amp;Rate_Card[Category]&amp;Rate_Card[Description]&amp;Rate_Card[Additional Details],Rate_Card[Client Cost],""))</f>
        <v>50000</v>
      </c>
      <c r="H9" s="73">
        <f>GT[[#This Row],[Rate_Card (Kshs)]]</f>
        <v>50000</v>
      </c>
      <c r="I9" s="74"/>
      <c r="J9" s="74"/>
      <c r="K9" s="102">
        <f>IFERROR(GT[[#This Row],[Client_Rate]]*(IF(GT[[#This Row],[Qty]]=0,1,GT[[#This Row],[Qty]]))*(IF(GT[[#This Row],[Duration]]=0,1,GT[[#This Row],[Duration]])),"")</f>
        <v>50000</v>
      </c>
      <c r="L9" s="75">
        <f>IFERROR(GT[[#This Row],[Ops_Cost]]*(IF(GT[[#This Row],[Qty]]=0,1,GT[[#This Row],[Qty]]))*(IF(GT[[#This Row],[Duration]]=0,1,GT[[#This Row],[Duration]])),"")</f>
        <v>0</v>
      </c>
      <c r="M9" s="76">
        <f>IFERROR(GT[[#This Row],[Client_Rate]]-GT[[#This Row],[Rate_Card (Kshs)]],"")</f>
        <v>0</v>
      </c>
      <c r="N9" s="77">
        <f>IFERROR(GT[[#This Row],[Total Cost]]-GT[[#This Row],[Total Ops Cost KE]],"")</f>
        <v>50000</v>
      </c>
      <c r="O9" s="24">
        <f>IFERROR(GT[[#This Row],[Sales Margin (val)]]/GT[[#This Row],[Total Cost]],"")</f>
        <v>1</v>
      </c>
      <c r="P9" s="78"/>
      <c r="Q9" s="79" t="b">
        <v>0</v>
      </c>
      <c r="R9" s="80"/>
      <c r="S9" s="25">
        <f>IF(GT[[#This Row],[Approval]],GT[[#This Row],[Total Cost]],GT[[#This Row],[MD Proposed Cost]])</f>
        <v>0</v>
      </c>
      <c r="T9" s="81"/>
    </row>
    <row r="10" spans="2:20" ht="24.95">
      <c r="B10" s="70" t="s">
        <v>639</v>
      </c>
      <c r="C10" s="71" t="str" cm="1">
        <f t="array" ref="C10">IF(GT[[#This Row],[Category]]="Fabrication",_xlfn.XLOOKUP(GT[[#This Row],[Category]]&amp;GT[[#This Row],[Subcategory]],Rate_Card[Category]&amp;Rate_Card[Description],Rate_Card[item ref no.],""),_xlfn.XLOOKUP(GT[[#This Row],[Category]]&amp;GT[[#This Row],[Subcategory]]&amp;GT[[#This Row],[Items Detailed Description]],Rate_Card[Category]&amp;Rate_Card[Description]&amp;Rate_Card[Additional Details],Rate_Card[item ref no.],""))</f>
        <v>4wa.17</v>
      </c>
      <c r="D10" s="70" t="s">
        <v>701</v>
      </c>
      <c r="E10" s="72" t="s">
        <v>702</v>
      </c>
      <c r="F10" s="23" cm="1">
        <f t="array" ref="F10">IF(GT[[#This Row],[Category]]="Fabrication",_xlfn.XLOOKUP($F$1&amp;GT[[#This Row],[Category]]&amp;GT[[#This Row],[Subcategory]],Rate_Card[Pricelist]&amp;Rate_Card[Category]&amp;Rate_Card[Description],Rate_Card[Ops - Brisk_Cost],""),_xlfn.XLOOKUP($F$1&amp;GT[[#This Row],[Category]]&amp;GT[[#This Row],[Subcategory]]&amp;GT[[#This Row],[Items Detailed Description]],Rate_Card[Pricelist]&amp;Rate_Card[Category]&amp;Rate_Card[Description]&amp;Rate_Card[Additional Details],Rate_Card[Ops - Brisk_Cost],""))</f>
        <v>200</v>
      </c>
      <c r="G10" s="23" cm="1">
        <f t="array" ref="G10">IF(GT[[#This Row],[Category]]="Fabrication",_xlfn.XLOOKUP($F$1&amp;GT[[#This Row],[Category]]&amp;GT[[#This Row],[Subcategory]],Rate_Card[Pricelist]&amp;Rate_Card[Category]&amp;Rate_Card[Description],Rate_Card[Client Cost],""),_xlfn.XLOOKUP($F$1&amp;GT[[#This Row],[Category]]&amp;GT[[#This Row],[Subcategory]]&amp;GT[[#This Row],[Items Detailed Description]],Rate_Card[Pricelist]&amp;Rate_Card[Category]&amp;Rate_Card[Description]&amp;Rate_Card[Additional Details],Rate_Card[Client Cost],""))</f>
        <v>300</v>
      </c>
      <c r="H10" s="73">
        <f>GT[[#This Row],[Rate_Card (Kshs)]]</f>
        <v>300</v>
      </c>
      <c r="I10" s="74"/>
      <c r="J10" s="74"/>
      <c r="K10" s="102">
        <f>IFERROR(GT[[#This Row],[Client_Rate]]*(IF(GT[[#This Row],[Qty]]=0,1,GT[[#This Row],[Qty]]))*(IF(GT[[#This Row],[Duration]]=0,1,GT[[#This Row],[Duration]])),"")</f>
        <v>300</v>
      </c>
      <c r="L10" s="75">
        <f>IFERROR(GT[[#This Row],[Ops_Cost]]*(IF(GT[[#This Row],[Qty]]=0,1,GT[[#This Row],[Qty]]))*(IF(GT[[#This Row],[Duration]]=0,1,GT[[#This Row],[Duration]])),"")</f>
        <v>200</v>
      </c>
      <c r="M10" s="76">
        <f>IFERROR(GT[[#This Row],[Client_Rate]]-GT[[#This Row],[Rate_Card (Kshs)]],"")</f>
        <v>0</v>
      </c>
      <c r="N10" s="77">
        <f>IFERROR(GT[[#This Row],[Total Cost]]-GT[[#This Row],[Total Ops Cost KE]],"")</f>
        <v>100</v>
      </c>
      <c r="O10" s="24">
        <f>IFERROR(GT[[#This Row],[Sales Margin (val)]]/GT[[#This Row],[Total Cost]],"")</f>
        <v>0.33333333333333331</v>
      </c>
      <c r="P10" s="78"/>
      <c r="Q10" s="79" t="b">
        <v>0</v>
      </c>
      <c r="R10" s="80"/>
      <c r="S10" s="25">
        <f>IF(GT[[#This Row],[Approval]],GT[[#This Row],[Total Cost]],GT[[#This Row],[MD Proposed Cost]])</f>
        <v>0</v>
      </c>
      <c r="T10" s="81"/>
    </row>
    <row r="11" spans="2:20" ht="24.95">
      <c r="B11" s="70" t="s">
        <v>639</v>
      </c>
      <c r="C11" s="71" t="str" cm="1">
        <f t="array" ref="C11">IF(GT[[#This Row],[Category]]="Fabrication",_xlfn.XLOOKUP(GT[[#This Row],[Category]]&amp;GT[[#This Row],[Subcategory]],Rate_Card[Category]&amp;Rate_Card[Description],Rate_Card[item ref no.],""),_xlfn.XLOOKUP(GT[[#This Row],[Category]]&amp;GT[[#This Row],[Subcategory]]&amp;GT[[#This Row],[Items Detailed Description]],Rate_Card[Category]&amp;Rate_Card[Description]&amp;Rate_Card[Additional Details],Rate_Card[item ref no.],""))</f>
        <v>4wa.39</v>
      </c>
      <c r="D11" s="70" t="s">
        <v>773</v>
      </c>
      <c r="E11" s="72"/>
      <c r="F11" s="23" cm="1">
        <f t="array" ref="F11">IF(GT[[#This Row],[Category]]="Fabrication",_xlfn.XLOOKUP($F$1&amp;GT[[#This Row],[Category]]&amp;GT[[#This Row],[Subcategory]],Rate_Card[Pricelist]&amp;Rate_Card[Category]&amp;Rate_Card[Description],Rate_Card[Ops - Brisk_Cost],""),_xlfn.XLOOKUP($F$1&amp;GT[[#This Row],[Category]]&amp;GT[[#This Row],[Subcategory]]&amp;GT[[#This Row],[Items Detailed Description]],Rate_Card[Pricelist]&amp;Rate_Card[Category]&amp;Rate_Card[Description]&amp;Rate_Card[Additional Details],Rate_Card[Ops - Brisk_Cost],""))</f>
        <v>0</v>
      </c>
      <c r="G11" s="23" cm="1">
        <f t="array" ref="G11">IF(GT[[#This Row],[Category]]="Fabrication",_xlfn.XLOOKUP($F$1&amp;GT[[#This Row],[Category]]&amp;GT[[#This Row],[Subcategory]],Rate_Card[Pricelist]&amp;Rate_Card[Category]&amp;Rate_Card[Description],Rate_Card[Client Cost],""),_xlfn.XLOOKUP($F$1&amp;GT[[#This Row],[Category]]&amp;GT[[#This Row],[Subcategory]]&amp;GT[[#This Row],[Items Detailed Description]],Rate_Card[Pricelist]&amp;Rate_Card[Category]&amp;Rate_Card[Description]&amp;Rate_Card[Additional Details],Rate_Card[Client Cost],""))</f>
        <v>700</v>
      </c>
      <c r="H11" s="73">
        <f>GT[[#This Row],[Rate_Card (Kshs)]]</f>
        <v>700</v>
      </c>
      <c r="I11" s="74"/>
      <c r="J11" s="74"/>
      <c r="K11" s="102">
        <f>IFERROR(GT[[#This Row],[Client_Rate]]*(IF(GT[[#This Row],[Qty]]=0,1,GT[[#This Row],[Qty]]))*(IF(GT[[#This Row],[Duration]]=0,1,GT[[#This Row],[Duration]])),"")</f>
        <v>700</v>
      </c>
      <c r="L11" s="75">
        <f>IFERROR(GT[[#This Row],[Ops_Cost]]*(IF(GT[[#This Row],[Qty]]=0,1,GT[[#This Row],[Qty]]))*(IF(GT[[#This Row],[Duration]]=0,1,GT[[#This Row],[Duration]])),"")</f>
        <v>0</v>
      </c>
      <c r="M11" s="76">
        <f>IFERROR(GT[[#This Row],[Client_Rate]]-GT[[#This Row],[Rate_Card (Kshs)]],"")</f>
        <v>0</v>
      </c>
      <c r="N11" s="77">
        <f>IFERROR(GT[[#This Row],[Total Cost]]-GT[[#This Row],[Total Ops Cost KE]],"")</f>
        <v>700</v>
      </c>
      <c r="O11" s="24">
        <f>IFERROR(GT[[#This Row],[Sales Margin (val)]]/GT[[#This Row],[Total Cost]],"")</f>
        <v>1</v>
      </c>
      <c r="P11" s="78"/>
      <c r="Q11" s="79" t="b">
        <v>0</v>
      </c>
      <c r="R11" s="80"/>
      <c r="S11" s="25">
        <f>IF(GT[[#This Row],[Approval]],GT[[#This Row],[Total Cost]],GT[[#This Row],[MD Proposed Cost]])</f>
        <v>0</v>
      </c>
      <c r="T11" s="81"/>
    </row>
    <row r="12" spans="2:20" ht="24.95">
      <c r="B12" s="70" t="s">
        <v>639</v>
      </c>
      <c r="C12" s="71" t="str" cm="1">
        <f t="array" ref="C12">IF(GT[[#This Row],[Category]]="Fabrication",_xlfn.XLOOKUP(GT[[#This Row],[Category]]&amp;GT[[#This Row],[Subcategory]],Rate_Card[Category]&amp;Rate_Card[Description],Rate_Card[item ref no.],""),_xlfn.XLOOKUP(GT[[#This Row],[Category]]&amp;GT[[#This Row],[Subcategory]]&amp;GT[[#This Row],[Items Detailed Description]],Rate_Card[Category]&amp;Rate_Card[Description]&amp;Rate_Card[Additional Details],Rate_Card[item ref no.],""))</f>
        <v>4wa.71</v>
      </c>
      <c r="D12" s="70" t="s">
        <v>771</v>
      </c>
      <c r="E12" s="72" t="s">
        <v>666</v>
      </c>
      <c r="F12" s="23" t="str" cm="1">
        <f t="array" ref="F12">IF(GT[[#This Row],[Category]]="Fabrication",_xlfn.XLOOKUP($F$1&amp;GT[[#This Row],[Category]]&amp;GT[[#This Row],[Subcategory]],Rate_Card[Pricelist]&amp;Rate_Card[Category]&amp;Rate_Card[Description],Rate_Card[Ops - Brisk_Cost],""),_xlfn.XLOOKUP($F$1&amp;GT[[#This Row],[Category]]&amp;GT[[#This Row],[Subcategory]]&amp;GT[[#This Row],[Items Detailed Description]],Rate_Card[Pricelist]&amp;Rate_Card[Category]&amp;Rate_Card[Description]&amp;Rate_Card[Additional Details],Rate_Card[Ops - Brisk_Cost],""))</f>
        <v/>
      </c>
      <c r="G12" s="23" t="str" cm="1">
        <f t="array" ref="G12">IF(GT[[#This Row],[Category]]="Fabrication",_xlfn.XLOOKUP($F$1&amp;GT[[#This Row],[Category]]&amp;GT[[#This Row],[Subcategory]],Rate_Card[Pricelist]&amp;Rate_Card[Category]&amp;Rate_Card[Description],Rate_Card[Client Cost],""),_xlfn.XLOOKUP($F$1&amp;GT[[#This Row],[Category]]&amp;GT[[#This Row],[Subcategory]]&amp;GT[[#This Row],[Items Detailed Description]],Rate_Card[Pricelist]&amp;Rate_Card[Category]&amp;Rate_Card[Description]&amp;Rate_Card[Additional Details],Rate_Card[Client Cost],""))</f>
        <v/>
      </c>
      <c r="H12" s="73" t="str">
        <f>GT[[#This Row],[Rate_Card (Kshs)]]</f>
        <v/>
      </c>
      <c r="I12" s="74"/>
      <c r="J12" s="74"/>
      <c r="K12" s="102" t="str">
        <f>IFERROR(GT[[#This Row],[Client_Rate]]*(IF(GT[[#This Row],[Qty]]=0,1,GT[[#This Row],[Qty]]))*(IF(GT[[#This Row],[Duration]]=0,1,GT[[#This Row],[Duration]])),"")</f>
        <v/>
      </c>
      <c r="L12" s="75" t="str">
        <f>IFERROR(GT[[#This Row],[Ops_Cost]]*(IF(GT[[#This Row],[Qty]]=0,1,GT[[#This Row],[Qty]]))*(IF(GT[[#This Row],[Duration]]=0,1,GT[[#This Row],[Duration]])),"")</f>
        <v/>
      </c>
      <c r="M12" s="76" t="str">
        <f>IFERROR(GT[[#This Row],[Client_Rate]]-GT[[#This Row],[Rate_Card (Kshs)]],"")</f>
        <v/>
      </c>
      <c r="N12" s="77" t="str">
        <f>IFERROR(GT[[#This Row],[Total Cost]]-GT[[#This Row],[Total Ops Cost KE]],"")</f>
        <v/>
      </c>
      <c r="O12" s="24" t="str">
        <f>IFERROR(GT[[#This Row],[Sales Margin (val)]]/GT[[#This Row],[Total Cost]],"")</f>
        <v/>
      </c>
      <c r="P12" s="78"/>
      <c r="Q12" s="79" t="b">
        <v>0</v>
      </c>
      <c r="R12" s="80"/>
      <c r="S12" s="25">
        <f>IF(GT[[#This Row],[Approval]],GT[[#This Row],[Total Cost]],GT[[#This Row],[MD Proposed Cost]])</f>
        <v>0</v>
      </c>
      <c r="T12" s="81"/>
    </row>
    <row r="13" spans="2:20" ht="24.95">
      <c r="B13" s="70" t="s">
        <v>639</v>
      </c>
      <c r="C13" s="71" t="str" cm="1">
        <f t="array" ref="C13">IF(GT[[#This Row],[Category]]="Fabrication",_xlfn.XLOOKUP(GT[[#This Row],[Category]]&amp;GT[[#This Row],[Subcategory]],Rate_Card[Category]&amp;Rate_Card[Description],Rate_Card[item ref no.],""),_xlfn.XLOOKUP(GT[[#This Row],[Category]]&amp;GT[[#This Row],[Subcategory]]&amp;GT[[#This Row],[Items Detailed Description]],Rate_Card[Category]&amp;Rate_Card[Description]&amp;Rate_Card[Additional Details],Rate_Card[item ref no.],""))</f>
        <v>4wa.55</v>
      </c>
      <c r="D13" s="70" t="s">
        <v>801</v>
      </c>
      <c r="E13" s="72" t="s">
        <v>802</v>
      </c>
      <c r="F13" s="23" cm="1">
        <f t="array" ref="F13">IF(GT[[#This Row],[Category]]="Fabrication",_xlfn.XLOOKUP($F$1&amp;GT[[#This Row],[Category]]&amp;GT[[#This Row],[Subcategory]],Rate_Card[Pricelist]&amp;Rate_Card[Category]&amp;Rate_Card[Description],Rate_Card[Ops - Brisk_Cost],""),_xlfn.XLOOKUP($F$1&amp;GT[[#This Row],[Category]]&amp;GT[[#This Row],[Subcategory]]&amp;GT[[#This Row],[Items Detailed Description]],Rate_Card[Pricelist]&amp;Rate_Card[Category]&amp;Rate_Card[Description]&amp;Rate_Card[Additional Details],Rate_Card[Ops - Brisk_Cost],""))</f>
        <v>20000</v>
      </c>
      <c r="G13" s="23" cm="1">
        <f t="array" ref="G13">IF(GT[[#This Row],[Category]]="Fabrication",_xlfn.XLOOKUP($F$1&amp;GT[[#This Row],[Category]]&amp;GT[[#This Row],[Subcategory]],Rate_Card[Pricelist]&amp;Rate_Card[Category]&amp;Rate_Card[Description],Rate_Card[Client Cost],""),_xlfn.XLOOKUP($F$1&amp;GT[[#This Row],[Category]]&amp;GT[[#This Row],[Subcategory]]&amp;GT[[#This Row],[Items Detailed Description]],Rate_Card[Pricelist]&amp;Rate_Card[Category]&amp;Rate_Card[Description]&amp;Rate_Card[Additional Details],Rate_Card[Client Cost],""))</f>
        <v>27040</v>
      </c>
      <c r="H13" s="73">
        <f>GT[[#This Row],[Rate_Card (Kshs)]]</f>
        <v>27040</v>
      </c>
      <c r="I13" s="74"/>
      <c r="J13" s="74"/>
      <c r="K13" s="102">
        <f>IFERROR(GT[[#This Row],[Client_Rate]]*(IF(GT[[#This Row],[Qty]]=0,1,GT[[#This Row],[Qty]]))*(IF(GT[[#This Row],[Duration]]=0,1,GT[[#This Row],[Duration]])),"")</f>
        <v>27040</v>
      </c>
      <c r="L13" s="75">
        <f>IFERROR(GT[[#This Row],[Ops_Cost]]*(IF(GT[[#This Row],[Qty]]=0,1,GT[[#This Row],[Qty]]))*(IF(GT[[#This Row],[Duration]]=0,1,GT[[#This Row],[Duration]])),"")</f>
        <v>20000</v>
      </c>
      <c r="M13" s="76">
        <f>IFERROR(GT[[#This Row],[Client_Rate]]-GT[[#This Row],[Rate_Card (Kshs)]],"")</f>
        <v>0</v>
      </c>
      <c r="N13" s="77">
        <f>IFERROR(GT[[#This Row],[Total Cost]]-GT[[#This Row],[Total Ops Cost KE]],"")</f>
        <v>7040</v>
      </c>
      <c r="O13" s="24">
        <f>IFERROR(GT[[#This Row],[Sales Margin (val)]]/GT[[#This Row],[Total Cost]],"")</f>
        <v>0.26035502958579881</v>
      </c>
      <c r="P13" s="78"/>
      <c r="Q13" s="79" t="b">
        <v>0</v>
      </c>
      <c r="R13" s="80"/>
      <c r="S13" s="25">
        <f>IF(GT[[#This Row],[Approval]],GT[[#This Row],[Total Cost]],GT[[#This Row],[MD Proposed Cost]])</f>
        <v>0</v>
      </c>
      <c r="T13" s="81"/>
    </row>
    <row r="14" spans="2:20" ht="24.95">
      <c r="B14" s="70" t="s">
        <v>639</v>
      </c>
      <c r="C14" s="71" t="str" cm="1">
        <f t="array" ref="C14">IF(GT[[#This Row],[Category]]="Fabrication",_xlfn.XLOOKUP(GT[[#This Row],[Category]]&amp;GT[[#This Row],[Subcategory]],Rate_Card[Category]&amp;Rate_Card[Description],Rate_Card[item ref no.],""),_xlfn.XLOOKUP(GT[[#This Row],[Category]]&amp;GT[[#This Row],[Subcategory]]&amp;GT[[#This Row],[Items Detailed Description]],Rate_Card[Category]&amp;Rate_Card[Description]&amp;Rate_Card[Additional Details],Rate_Card[item ref no.],""))</f>
        <v>4wa.41</v>
      </c>
      <c r="D14" s="70" t="s">
        <v>777</v>
      </c>
      <c r="E14" s="72" t="s">
        <v>778</v>
      </c>
      <c r="F14" s="23" cm="1">
        <f t="array" ref="F14">IF(GT[[#This Row],[Category]]="Fabrication",_xlfn.XLOOKUP($F$1&amp;GT[[#This Row],[Category]]&amp;GT[[#This Row],[Subcategory]],Rate_Card[Pricelist]&amp;Rate_Card[Category]&amp;Rate_Card[Description],Rate_Card[Ops - Brisk_Cost],""),_xlfn.XLOOKUP($F$1&amp;GT[[#This Row],[Category]]&amp;GT[[#This Row],[Subcategory]]&amp;GT[[#This Row],[Items Detailed Description]],Rate_Card[Pricelist]&amp;Rate_Card[Category]&amp;Rate_Card[Description]&amp;Rate_Card[Additional Details],Rate_Card[Ops - Brisk_Cost],""))</f>
        <v>300</v>
      </c>
      <c r="G14" s="23" cm="1">
        <f t="array" ref="G14">IF(GT[[#This Row],[Category]]="Fabrication",_xlfn.XLOOKUP($F$1&amp;GT[[#This Row],[Category]]&amp;GT[[#This Row],[Subcategory]],Rate_Card[Pricelist]&amp;Rate_Card[Category]&amp;Rate_Card[Description],Rate_Card[Client Cost],""),_xlfn.XLOOKUP($F$1&amp;GT[[#This Row],[Category]]&amp;GT[[#This Row],[Subcategory]]&amp;GT[[#This Row],[Items Detailed Description]],Rate_Card[Pricelist]&amp;Rate_Card[Category]&amp;Rate_Card[Description]&amp;Rate_Card[Additional Details],Rate_Card[Client Cost],""))</f>
        <v>500</v>
      </c>
      <c r="H14" s="73">
        <f>GT[[#This Row],[Rate_Card (Kshs)]]</f>
        <v>500</v>
      </c>
      <c r="I14" s="74"/>
      <c r="J14" s="74"/>
      <c r="K14" s="102">
        <f>IFERROR(GT[[#This Row],[Client_Rate]]*(IF(GT[[#This Row],[Qty]]=0,1,GT[[#This Row],[Qty]]))*(IF(GT[[#This Row],[Duration]]=0,1,GT[[#This Row],[Duration]])),"")</f>
        <v>500</v>
      </c>
      <c r="L14" s="75">
        <f>IFERROR(GT[[#This Row],[Ops_Cost]]*(IF(GT[[#This Row],[Qty]]=0,1,GT[[#This Row],[Qty]]))*(IF(GT[[#This Row],[Duration]]=0,1,GT[[#This Row],[Duration]])),"")</f>
        <v>300</v>
      </c>
      <c r="M14" s="76">
        <f>IFERROR(GT[[#This Row],[Client_Rate]]-GT[[#This Row],[Rate_Card (Kshs)]],"")</f>
        <v>0</v>
      </c>
      <c r="N14" s="77">
        <f>IFERROR(GT[[#This Row],[Total Cost]]-GT[[#This Row],[Total Ops Cost KE]],"")</f>
        <v>200</v>
      </c>
      <c r="O14" s="24">
        <f>IFERROR(GT[[#This Row],[Sales Margin (val)]]/GT[[#This Row],[Total Cost]],"")</f>
        <v>0.4</v>
      </c>
      <c r="P14" s="78"/>
      <c r="Q14" s="79" t="b">
        <v>0</v>
      </c>
      <c r="R14" s="80"/>
      <c r="S14" s="25">
        <f>IF(GT[[#This Row],[Approval]],GT[[#This Row],[Total Cost]],GT[[#This Row],[MD Proposed Cost]])</f>
        <v>0</v>
      </c>
      <c r="T14" s="81"/>
    </row>
    <row r="15" spans="2:20" ht="24.95">
      <c r="B15" s="70" t="s">
        <v>639</v>
      </c>
      <c r="C15" s="71" t="str" cm="1">
        <f t="array" ref="C15">IF(GT[[#This Row],[Category]]="Fabrication",_xlfn.XLOOKUP(GT[[#This Row],[Category]]&amp;GT[[#This Row],[Subcategory]],Rate_Card[Category]&amp;Rate_Card[Description],Rate_Card[item ref no.],""),_xlfn.XLOOKUP(GT[[#This Row],[Category]]&amp;GT[[#This Row],[Subcategory]]&amp;GT[[#This Row],[Items Detailed Description]],Rate_Card[Category]&amp;Rate_Card[Description]&amp;Rate_Card[Additional Details],Rate_Card[item ref no.],""))</f>
        <v>4wa.17</v>
      </c>
      <c r="D15" s="70" t="s">
        <v>701</v>
      </c>
      <c r="E15" s="72" t="s">
        <v>702</v>
      </c>
      <c r="F15" s="23" cm="1">
        <f t="array" ref="F15">IF(GT[[#This Row],[Category]]="Fabrication",_xlfn.XLOOKUP($F$1&amp;GT[[#This Row],[Category]]&amp;GT[[#This Row],[Subcategory]],Rate_Card[Pricelist]&amp;Rate_Card[Category]&amp;Rate_Card[Description],Rate_Card[Ops - Brisk_Cost],""),_xlfn.XLOOKUP($F$1&amp;GT[[#This Row],[Category]]&amp;GT[[#This Row],[Subcategory]]&amp;GT[[#This Row],[Items Detailed Description]],Rate_Card[Pricelist]&amp;Rate_Card[Category]&amp;Rate_Card[Description]&amp;Rate_Card[Additional Details],Rate_Card[Ops - Brisk_Cost],""))</f>
        <v>200</v>
      </c>
      <c r="G15" s="23" cm="1">
        <f t="array" ref="G15">IF(GT[[#This Row],[Category]]="Fabrication",_xlfn.XLOOKUP($F$1&amp;GT[[#This Row],[Category]]&amp;GT[[#This Row],[Subcategory]],Rate_Card[Pricelist]&amp;Rate_Card[Category]&amp;Rate_Card[Description],Rate_Card[Client Cost],""),_xlfn.XLOOKUP($F$1&amp;GT[[#This Row],[Category]]&amp;GT[[#This Row],[Subcategory]]&amp;GT[[#This Row],[Items Detailed Description]],Rate_Card[Pricelist]&amp;Rate_Card[Category]&amp;Rate_Card[Description]&amp;Rate_Card[Additional Details],Rate_Card[Client Cost],""))</f>
        <v>300</v>
      </c>
      <c r="H15" s="73">
        <f>GT[[#This Row],[Rate_Card (Kshs)]]</f>
        <v>300</v>
      </c>
      <c r="I15" s="74"/>
      <c r="J15" s="74"/>
      <c r="K15" s="102">
        <f>IFERROR(GT[[#This Row],[Client_Rate]]*(IF(GT[[#This Row],[Qty]]=0,1,GT[[#This Row],[Qty]]))*(IF(GT[[#This Row],[Duration]]=0,1,GT[[#This Row],[Duration]])),"")</f>
        <v>300</v>
      </c>
      <c r="L15" s="75">
        <f>IFERROR(GT[[#This Row],[Ops_Cost]]*(IF(GT[[#This Row],[Qty]]=0,1,GT[[#This Row],[Qty]]))*(IF(GT[[#This Row],[Duration]]=0,1,GT[[#This Row],[Duration]])),"")</f>
        <v>200</v>
      </c>
      <c r="M15" s="76">
        <f>IFERROR(GT[[#This Row],[Client_Rate]]-GT[[#This Row],[Rate_Card (Kshs)]],"")</f>
        <v>0</v>
      </c>
      <c r="N15" s="77">
        <f>IFERROR(GT[[#This Row],[Total Cost]]-GT[[#This Row],[Total Ops Cost KE]],"")</f>
        <v>100</v>
      </c>
      <c r="O15" s="24">
        <f>IFERROR(GT[[#This Row],[Sales Margin (val)]]/GT[[#This Row],[Total Cost]],"")</f>
        <v>0.33333333333333331</v>
      </c>
      <c r="P15" s="78"/>
      <c r="Q15" s="79" t="b">
        <v>0</v>
      </c>
      <c r="R15" s="80"/>
      <c r="S15" s="25">
        <f>IF(GT[[#This Row],[Approval]],GT[[#This Row],[Total Cost]],GT[[#This Row],[MD Proposed Cost]])</f>
        <v>0</v>
      </c>
      <c r="T15" s="81"/>
    </row>
    <row r="16" spans="2:20" ht="24.95">
      <c r="B16" s="70" t="s">
        <v>639</v>
      </c>
      <c r="C16" s="71" t="str" cm="1">
        <f t="array" ref="C16">IF(GT[[#This Row],[Category]]="Fabrication",_xlfn.XLOOKUP(GT[[#This Row],[Category]]&amp;GT[[#This Row],[Subcategory]],Rate_Card[Category]&amp;Rate_Card[Description],Rate_Card[item ref no.],""),_xlfn.XLOOKUP(GT[[#This Row],[Category]]&amp;GT[[#This Row],[Subcategory]]&amp;GT[[#This Row],[Items Detailed Description]],Rate_Card[Category]&amp;Rate_Card[Description]&amp;Rate_Card[Additional Details],Rate_Card[item ref no.],""))</f>
        <v>4wa.54</v>
      </c>
      <c r="D16" s="70" t="s">
        <v>649</v>
      </c>
      <c r="E16" s="72" t="s">
        <v>650</v>
      </c>
      <c r="F16" s="23" cm="1">
        <f t="array" ref="F16">IF(GT[[#This Row],[Category]]="Fabrication",_xlfn.XLOOKUP($F$1&amp;GT[[#This Row],[Category]]&amp;GT[[#This Row],[Subcategory]],Rate_Card[Pricelist]&amp;Rate_Card[Category]&amp;Rate_Card[Description],Rate_Card[Ops - Brisk_Cost],""),_xlfn.XLOOKUP($F$1&amp;GT[[#This Row],[Category]]&amp;GT[[#This Row],[Subcategory]]&amp;GT[[#This Row],[Items Detailed Description]],Rate_Card[Pricelist]&amp;Rate_Card[Category]&amp;Rate_Card[Description]&amp;Rate_Card[Additional Details],Rate_Card[Ops - Brisk_Cost],""))</f>
        <v>1500</v>
      </c>
      <c r="G16" s="23" cm="1">
        <f t="array" ref="G16">IF(GT[[#This Row],[Category]]="Fabrication",_xlfn.XLOOKUP($F$1&amp;GT[[#This Row],[Category]]&amp;GT[[#This Row],[Subcategory]],Rate_Card[Pricelist]&amp;Rate_Card[Category]&amp;Rate_Card[Description],Rate_Card[Client Cost],""),_xlfn.XLOOKUP($F$1&amp;GT[[#This Row],[Category]]&amp;GT[[#This Row],[Subcategory]]&amp;GT[[#This Row],[Items Detailed Description]],Rate_Card[Pricelist]&amp;Rate_Card[Category]&amp;Rate_Card[Description]&amp;Rate_Card[Additional Details],Rate_Card[Client Cost],""))</f>
        <v>2000</v>
      </c>
      <c r="H16" s="73">
        <f>GT[[#This Row],[Rate_Card (Kshs)]]</f>
        <v>2000</v>
      </c>
      <c r="I16" s="74"/>
      <c r="J16" s="74"/>
      <c r="K16" s="102">
        <f>IFERROR(GT[[#This Row],[Client_Rate]]*(IF(GT[[#This Row],[Qty]]=0,1,GT[[#This Row],[Qty]]))*(IF(GT[[#This Row],[Duration]]=0,1,GT[[#This Row],[Duration]])),"")</f>
        <v>2000</v>
      </c>
      <c r="L16" s="75">
        <f>IFERROR(GT[[#This Row],[Ops_Cost]]*(IF(GT[[#This Row],[Qty]]=0,1,GT[[#This Row],[Qty]]))*(IF(GT[[#This Row],[Duration]]=0,1,GT[[#This Row],[Duration]])),"")</f>
        <v>1500</v>
      </c>
      <c r="M16" s="76">
        <f>IFERROR(GT[[#This Row],[Client_Rate]]-GT[[#This Row],[Rate_Card (Kshs)]],"")</f>
        <v>0</v>
      </c>
      <c r="N16" s="77">
        <f>IFERROR(GT[[#This Row],[Total Cost]]-GT[[#This Row],[Total Ops Cost KE]],"")</f>
        <v>500</v>
      </c>
      <c r="O16" s="24">
        <f>IFERROR(GT[[#This Row],[Sales Margin (val)]]/GT[[#This Row],[Total Cost]],"")</f>
        <v>0.25</v>
      </c>
      <c r="P16" s="78"/>
      <c r="Q16" s="79" t="b">
        <v>0</v>
      </c>
      <c r="R16" s="80"/>
      <c r="S16" s="25">
        <f>IF(GT[[#This Row],[Approval]],GT[[#This Row],[Total Cost]],GT[[#This Row],[MD Proposed Cost]])</f>
        <v>0</v>
      </c>
      <c r="T16" s="81"/>
    </row>
    <row r="17" spans="2:20">
      <c r="B17" s="70" t="s">
        <v>639</v>
      </c>
      <c r="C17" s="71" t="str" cm="1">
        <f t="array" ref="C17">IF(GT[[#This Row],[Category]]="Fabrication",_xlfn.XLOOKUP(GT[[#This Row],[Category]]&amp;GT[[#This Row],[Subcategory]],Rate_Card[Category]&amp;Rate_Card[Description],Rate_Card[item ref no.],""),_xlfn.XLOOKUP(GT[[#This Row],[Category]]&amp;GT[[#This Row],[Subcategory]]&amp;GT[[#This Row],[Items Detailed Description]],Rate_Card[Category]&amp;Rate_Card[Description]&amp;Rate_Card[Additional Details],Rate_Card[item ref no.],""))</f>
        <v>4wa.24</v>
      </c>
      <c r="D17" s="70" t="s">
        <v>728</v>
      </c>
      <c r="E17" s="72" t="s">
        <v>722</v>
      </c>
      <c r="F17" s="23" cm="1">
        <f t="array" ref="F17">IF(GT[[#This Row],[Category]]="Fabrication",_xlfn.XLOOKUP($F$1&amp;GT[[#This Row],[Category]]&amp;GT[[#This Row],[Subcategory]],Rate_Card[Pricelist]&amp;Rate_Card[Category]&amp;Rate_Card[Description],Rate_Card[Ops - Brisk_Cost],""),_xlfn.XLOOKUP($F$1&amp;GT[[#This Row],[Category]]&amp;GT[[#This Row],[Subcategory]]&amp;GT[[#This Row],[Items Detailed Description]],Rate_Card[Pricelist]&amp;Rate_Card[Category]&amp;Rate_Card[Description]&amp;Rate_Card[Additional Details],Rate_Card[Ops - Brisk_Cost],""))</f>
        <v>20000</v>
      </c>
      <c r="G17" s="23" cm="1">
        <f t="array" ref="G17">IF(GT[[#This Row],[Category]]="Fabrication",_xlfn.XLOOKUP($F$1&amp;GT[[#This Row],[Category]]&amp;GT[[#This Row],[Subcategory]],Rate_Card[Pricelist]&amp;Rate_Card[Category]&amp;Rate_Card[Description],Rate_Card[Client Cost],""),_xlfn.XLOOKUP($F$1&amp;GT[[#This Row],[Category]]&amp;GT[[#This Row],[Subcategory]]&amp;GT[[#This Row],[Items Detailed Description]],Rate_Card[Pricelist]&amp;Rate_Card[Category]&amp;Rate_Card[Description]&amp;Rate_Card[Additional Details],Rate_Card[Client Cost],""))</f>
        <v>28000</v>
      </c>
      <c r="H17" s="73">
        <f>GT[[#This Row],[Rate_Card (Kshs)]]</f>
        <v>28000</v>
      </c>
      <c r="I17" s="74"/>
      <c r="J17" s="74"/>
      <c r="K17" s="102">
        <f>IFERROR(GT[[#This Row],[Client_Rate]]*(IF(GT[[#This Row],[Qty]]=0,1,GT[[#This Row],[Qty]]))*(IF(GT[[#This Row],[Duration]]=0,1,GT[[#This Row],[Duration]])),"")</f>
        <v>28000</v>
      </c>
      <c r="L17" s="75">
        <f>IFERROR(GT[[#This Row],[Ops_Cost]]*(IF(GT[[#This Row],[Qty]]=0,1,GT[[#This Row],[Qty]]))*(IF(GT[[#This Row],[Duration]]=0,1,GT[[#This Row],[Duration]])),"")</f>
        <v>20000</v>
      </c>
      <c r="M17" s="76">
        <f>IFERROR(GT[[#This Row],[Client_Rate]]-GT[[#This Row],[Rate_Card (Kshs)]],"")</f>
        <v>0</v>
      </c>
      <c r="N17" s="77">
        <f>IFERROR(GT[[#This Row],[Total Cost]]-GT[[#This Row],[Total Ops Cost KE]],"")</f>
        <v>8000</v>
      </c>
      <c r="O17" s="24">
        <f>IFERROR(GT[[#This Row],[Sales Margin (val)]]/GT[[#This Row],[Total Cost]],"")</f>
        <v>0.2857142857142857</v>
      </c>
      <c r="P17" s="78"/>
      <c r="Q17" s="79" t="b">
        <v>0</v>
      </c>
      <c r="R17" s="80"/>
      <c r="S17" s="25">
        <f>IF(GT[[#This Row],[Approval]],GT[[#This Row],[Total Cost]],GT[[#This Row],[MD Proposed Cost]])</f>
        <v>0</v>
      </c>
      <c r="T17" s="81"/>
    </row>
    <row r="18" spans="2:20">
      <c r="B18" s="70" t="s">
        <v>639</v>
      </c>
      <c r="C18" s="71" t="str" cm="1">
        <f t="array" ref="C18">IF(GT[[#This Row],[Category]]="Fabrication",_xlfn.XLOOKUP(GT[[#This Row],[Category]]&amp;GT[[#This Row],[Subcategory]],Rate_Card[Category]&amp;Rate_Card[Description],Rate_Card[item ref no.],""),_xlfn.XLOOKUP(GT[[#This Row],[Category]]&amp;GT[[#This Row],[Subcategory]]&amp;GT[[#This Row],[Items Detailed Description]],Rate_Card[Category]&amp;Rate_Card[Description]&amp;Rate_Card[Additional Details],Rate_Card[item ref no.],""))</f>
        <v>4wa.67</v>
      </c>
      <c r="D18" s="70" t="s">
        <v>730</v>
      </c>
      <c r="E18" s="72" t="s">
        <v>722</v>
      </c>
      <c r="F18" s="23" t="str" cm="1">
        <f t="array" ref="F18">IF(GT[[#This Row],[Category]]="Fabrication",_xlfn.XLOOKUP($F$1&amp;GT[[#This Row],[Category]]&amp;GT[[#This Row],[Subcategory]],Rate_Card[Pricelist]&amp;Rate_Card[Category]&amp;Rate_Card[Description],Rate_Card[Ops - Brisk_Cost],""),_xlfn.XLOOKUP($F$1&amp;GT[[#This Row],[Category]]&amp;GT[[#This Row],[Subcategory]]&amp;GT[[#This Row],[Items Detailed Description]],Rate_Card[Pricelist]&amp;Rate_Card[Category]&amp;Rate_Card[Description]&amp;Rate_Card[Additional Details],Rate_Card[Ops - Brisk_Cost],""))</f>
        <v/>
      </c>
      <c r="G18" s="23" t="str" cm="1">
        <f t="array" ref="G18">IF(GT[[#This Row],[Category]]="Fabrication",_xlfn.XLOOKUP($F$1&amp;GT[[#This Row],[Category]]&amp;GT[[#This Row],[Subcategory]],Rate_Card[Pricelist]&amp;Rate_Card[Category]&amp;Rate_Card[Description],Rate_Card[Client Cost],""),_xlfn.XLOOKUP($F$1&amp;GT[[#This Row],[Category]]&amp;GT[[#This Row],[Subcategory]]&amp;GT[[#This Row],[Items Detailed Description]],Rate_Card[Pricelist]&amp;Rate_Card[Category]&amp;Rate_Card[Description]&amp;Rate_Card[Additional Details],Rate_Card[Client Cost],""))</f>
        <v/>
      </c>
      <c r="H18" s="73" t="str">
        <f>GT[[#This Row],[Rate_Card (Kshs)]]</f>
        <v/>
      </c>
      <c r="I18" s="74"/>
      <c r="J18" s="74"/>
      <c r="K18" s="102" t="str">
        <f>IFERROR(GT[[#This Row],[Client_Rate]]*(IF(GT[[#This Row],[Qty]]=0,1,GT[[#This Row],[Qty]]))*(IF(GT[[#This Row],[Duration]]=0,1,GT[[#This Row],[Duration]])),"")</f>
        <v/>
      </c>
      <c r="L18" s="75" t="str">
        <f>IFERROR(GT[[#This Row],[Ops_Cost]]*(IF(GT[[#This Row],[Qty]]=0,1,GT[[#This Row],[Qty]]))*(IF(GT[[#This Row],[Duration]]=0,1,GT[[#This Row],[Duration]])),"")</f>
        <v/>
      </c>
      <c r="M18" s="76" t="str">
        <f>IFERROR(GT[[#This Row],[Client_Rate]]-GT[[#This Row],[Rate_Card (Kshs)]],"")</f>
        <v/>
      </c>
      <c r="N18" s="77" t="str">
        <f>IFERROR(GT[[#This Row],[Total Cost]]-GT[[#This Row],[Total Ops Cost KE]],"")</f>
        <v/>
      </c>
      <c r="O18" s="24" t="str">
        <f>IFERROR(GT[[#This Row],[Sales Margin (val)]]/GT[[#This Row],[Total Cost]],"")</f>
        <v/>
      </c>
      <c r="P18" s="78"/>
      <c r="Q18" s="79" t="b">
        <v>0</v>
      </c>
      <c r="R18" s="80"/>
      <c r="S18" s="25">
        <f>IF(GT[[#This Row],[Approval]],GT[[#This Row],[Total Cost]],GT[[#This Row],[MD Proposed Cost]])</f>
        <v>0</v>
      </c>
      <c r="T18" s="81"/>
    </row>
    <row r="19" spans="2:20">
      <c r="B19" s="70" t="s">
        <v>60</v>
      </c>
      <c r="C19" s="71" t="str" cm="1">
        <f t="array" ref="C19">IF(GT[[#This Row],[Category]]="Fabrication",_xlfn.XLOOKUP(GT[[#This Row],[Category]]&amp;GT[[#This Row],[Subcategory]],Rate_Card[Category]&amp;Rate_Card[Description],Rate_Card[item ref no.],""),_xlfn.XLOOKUP(GT[[#This Row],[Category]]&amp;GT[[#This Row],[Subcategory]]&amp;GT[[#This Row],[Items Detailed Description]],Rate_Card[Category]&amp;Rate_Card[Description]&amp;Rate_Card[Additional Details],Rate_Card[item ref no.],""))</f>
        <v>4ex.150</v>
      </c>
      <c r="D19" s="70" t="s">
        <v>288</v>
      </c>
      <c r="E19" s="72" t="s">
        <v>289</v>
      </c>
      <c r="F19" s="23" cm="1">
        <f t="array" ref="F19">IF(GT[[#This Row],[Category]]="Fabrication",_xlfn.XLOOKUP($F$1&amp;GT[[#This Row],[Category]]&amp;GT[[#This Row],[Subcategory]],Rate_Card[Pricelist]&amp;Rate_Card[Category]&amp;Rate_Card[Description],Rate_Card[Ops - Brisk_Cost],""),_xlfn.XLOOKUP($F$1&amp;GT[[#This Row],[Category]]&amp;GT[[#This Row],[Subcategory]]&amp;GT[[#This Row],[Items Detailed Description]],Rate_Card[Pricelist]&amp;Rate_Card[Category]&amp;Rate_Card[Description]&amp;Rate_Card[Additional Details],Rate_Card[Ops - Brisk_Cost],""))</f>
        <v>6500</v>
      </c>
      <c r="G19" s="23" cm="1">
        <f t="array" ref="G19">IF(GT[[#This Row],[Category]]="Fabrication",_xlfn.XLOOKUP($F$1&amp;GT[[#This Row],[Category]]&amp;GT[[#This Row],[Subcategory]],Rate_Card[Pricelist]&amp;Rate_Card[Category]&amp;Rate_Card[Description],Rate_Card[Client Cost],""),_xlfn.XLOOKUP($F$1&amp;GT[[#This Row],[Category]]&amp;GT[[#This Row],[Subcategory]]&amp;GT[[#This Row],[Items Detailed Description]],Rate_Card[Pricelist]&amp;Rate_Card[Category]&amp;Rate_Card[Description]&amp;Rate_Card[Additional Details],Rate_Card[Client Cost],""))</f>
        <v>10000</v>
      </c>
      <c r="H19" s="73">
        <f>GT[[#This Row],[Rate_Card (Kshs)]]</f>
        <v>10000</v>
      </c>
      <c r="I19" s="74"/>
      <c r="J19" s="74"/>
      <c r="K19" s="102">
        <f>IFERROR(GT[[#This Row],[Client_Rate]]*(IF(GT[[#This Row],[Qty]]=0,1,GT[[#This Row],[Qty]]))*(IF(GT[[#This Row],[Duration]]=0,1,GT[[#This Row],[Duration]])),"")</f>
        <v>10000</v>
      </c>
      <c r="L19" s="75">
        <f>IFERROR(GT[[#This Row],[Ops_Cost]]*(IF(GT[[#This Row],[Qty]]=0,1,GT[[#This Row],[Qty]]))*(IF(GT[[#This Row],[Duration]]=0,1,GT[[#This Row],[Duration]])),"")</f>
        <v>6500</v>
      </c>
      <c r="M19" s="76">
        <f>IFERROR(GT[[#This Row],[Client_Rate]]-GT[[#This Row],[Rate_Card (Kshs)]],"")</f>
        <v>0</v>
      </c>
      <c r="N19" s="77">
        <f>IFERROR(GT[[#This Row],[Total Cost]]-GT[[#This Row],[Total Ops Cost KE]],"")</f>
        <v>3500</v>
      </c>
      <c r="O19" s="24">
        <f>IFERROR(GT[[#This Row],[Sales Margin (val)]]/GT[[#This Row],[Total Cost]],"")</f>
        <v>0.35</v>
      </c>
      <c r="P19" s="78"/>
      <c r="Q19" s="79" t="b">
        <v>0</v>
      </c>
      <c r="R19" s="80"/>
      <c r="S19" s="25">
        <f>IF(GT[[#This Row],[Approval]],GT[[#This Row],[Total Cost]],GT[[#This Row],[MD Proposed Cost]])</f>
        <v>0</v>
      </c>
      <c r="T19" s="81"/>
    </row>
    <row r="20" spans="2:20" ht="24.95">
      <c r="B20" s="70" t="s">
        <v>404</v>
      </c>
      <c r="C20" s="71" t="str" cm="1">
        <f t="array" ref="C20">IF(GT[[#This Row],[Category]]="Fabrication",_xlfn.XLOOKUP(GT[[#This Row],[Category]]&amp;GT[[#This Row],[Subcategory]],Rate_Card[Category]&amp;Rate_Card[Description],Rate_Card[item ref no.],""),_xlfn.XLOOKUP(GT[[#This Row],[Category]]&amp;GT[[#This Row],[Subcategory]]&amp;GT[[#This Row],[Items Detailed Description]],Rate_Card[Category]&amp;Rate_Card[Description]&amp;Rate_Card[Additional Details],Rate_Card[item ref no.],""))</f>
        <v>4lo.8</v>
      </c>
      <c r="D20" s="70" t="s">
        <v>496</v>
      </c>
      <c r="E20" s="72" t="s">
        <v>426</v>
      </c>
      <c r="F20" s="23" cm="1">
        <f t="array" ref="F20">IF(GT[[#This Row],[Category]]="Fabrication",_xlfn.XLOOKUP($F$1&amp;GT[[#This Row],[Category]]&amp;GT[[#This Row],[Subcategory]],Rate_Card[Pricelist]&amp;Rate_Card[Category]&amp;Rate_Card[Description],Rate_Card[Ops - Brisk_Cost],""),_xlfn.XLOOKUP($F$1&amp;GT[[#This Row],[Category]]&amp;GT[[#This Row],[Subcategory]]&amp;GT[[#This Row],[Items Detailed Description]],Rate_Card[Pricelist]&amp;Rate_Card[Category]&amp;Rate_Card[Description]&amp;Rate_Card[Additional Details],Rate_Card[Ops - Brisk_Cost],""))</f>
        <v>4500</v>
      </c>
      <c r="G20" s="23" cm="1">
        <f t="array" ref="G20">IF(GT[[#This Row],[Category]]="Fabrication",_xlfn.XLOOKUP($F$1&amp;GT[[#This Row],[Category]]&amp;GT[[#This Row],[Subcategory]],Rate_Card[Pricelist]&amp;Rate_Card[Category]&amp;Rate_Card[Description],Rate_Card[Client Cost],""),_xlfn.XLOOKUP($F$1&amp;GT[[#This Row],[Category]]&amp;GT[[#This Row],[Subcategory]]&amp;GT[[#This Row],[Items Detailed Description]],Rate_Card[Pricelist]&amp;Rate_Card[Category]&amp;Rate_Card[Description]&amp;Rate_Card[Additional Details],Rate_Card[Client Cost],""))</f>
        <v>14000</v>
      </c>
      <c r="H20" s="73">
        <f>GT[[#This Row],[Rate_Card (Kshs)]]</f>
        <v>14000</v>
      </c>
      <c r="I20" s="74"/>
      <c r="J20" s="74"/>
      <c r="K20" s="102">
        <f>IFERROR(GT[[#This Row],[Client_Rate]]*(IF(GT[[#This Row],[Qty]]=0,1,GT[[#This Row],[Qty]]))*(IF(GT[[#This Row],[Duration]]=0,1,GT[[#This Row],[Duration]])),"")</f>
        <v>14000</v>
      </c>
      <c r="L20" s="75">
        <f>IFERROR(GT[[#This Row],[Ops_Cost]]*(IF(GT[[#This Row],[Qty]]=0,1,GT[[#This Row],[Qty]]))*(IF(GT[[#This Row],[Duration]]=0,1,GT[[#This Row],[Duration]])),"")</f>
        <v>4500</v>
      </c>
      <c r="M20" s="76">
        <f>IFERROR(GT[[#This Row],[Client_Rate]]-GT[[#This Row],[Rate_Card (Kshs)]],"")</f>
        <v>0</v>
      </c>
      <c r="N20" s="77">
        <f>IFERROR(GT[[#This Row],[Total Cost]]-GT[[#This Row],[Total Ops Cost KE]],"")</f>
        <v>9500</v>
      </c>
      <c r="O20" s="24">
        <f>IFERROR(GT[[#This Row],[Sales Margin (val)]]/GT[[#This Row],[Total Cost]],"")</f>
        <v>0.6785714285714286</v>
      </c>
      <c r="P20" s="78"/>
      <c r="Q20" s="79" t="b">
        <v>0</v>
      </c>
      <c r="R20" s="80"/>
      <c r="S20" s="25">
        <f>IF(GT[[#This Row],[Approval]],GT[[#This Row],[Total Cost]],GT[[#This Row],[MD Proposed Cost]])</f>
        <v>0</v>
      </c>
      <c r="T20" s="81"/>
    </row>
    <row r="21" spans="2:20">
      <c r="B21" s="70" t="s">
        <v>4</v>
      </c>
      <c r="C21" s="71" t="str" cm="1">
        <f t="array" ref="C21">IF(GT[[#This Row],[Category]]="Fabrication",_xlfn.XLOOKUP(GT[[#This Row],[Category]]&amp;GT[[#This Row],[Subcategory]],Rate_Card[Category]&amp;Rate_Card[Description],Rate_Card[item ref no.],""),_xlfn.XLOOKUP(GT[[#This Row],[Category]]&amp;GT[[#This Row],[Subcategory]]&amp;GT[[#This Row],[Items Detailed Description]],Rate_Card[Category]&amp;Rate_Card[Description]&amp;Rate_Card[Additional Details],Rate_Card[item ref no.],""))</f>
        <v>4br.1</v>
      </c>
      <c r="D21" s="70" t="s">
        <v>53</v>
      </c>
      <c r="E21" s="72" t="s">
        <v>49</v>
      </c>
      <c r="F21" s="23" cm="1">
        <f t="array" ref="F21">IF(GT[[#This Row],[Category]]="Fabrication",_xlfn.XLOOKUP($F$1&amp;GT[[#This Row],[Category]]&amp;GT[[#This Row],[Subcategory]],Rate_Card[Pricelist]&amp;Rate_Card[Category]&amp;Rate_Card[Description],Rate_Card[Ops - Brisk_Cost],""),_xlfn.XLOOKUP($F$1&amp;GT[[#This Row],[Category]]&amp;GT[[#This Row],[Subcategory]]&amp;GT[[#This Row],[Items Detailed Description]],Rate_Card[Pricelist]&amp;Rate_Card[Category]&amp;Rate_Card[Description]&amp;Rate_Card[Additional Details],Rate_Card[Ops - Brisk_Cost],""))</f>
        <v>19000</v>
      </c>
      <c r="G21" s="23" cm="1">
        <f t="array" ref="G21">IF(GT[[#This Row],[Category]]="Fabrication",_xlfn.XLOOKUP($F$1&amp;GT[[#This Row],[Category]]&amp;GT[[#This Row],[Subcategory]],Rate_Card[Pricelist]&amp;Rate_Card[Category]&amp;Rate_Card[Description],Rate_Card[Client Cost],""),_xlfn.XLOOKUP($F$1&amp;GT[[#This Row],[Category]]&amp;GT[[#This Row],[Subcategory]]&amp;GT[[#This Row],[Items Detailed Description]],Rate_Card[Pricelist]&amp;Rate_Card[Category]&amp;Rate_Card[Description]&amp;Rate_Card[Additional Details],Rate_Card[Client Cost],""))</f>
        <v>27000</v>
      </c>
      <c r="H21" s="73">
        <f>GT[[#This Row],[Rate_Card (Kshs)]]</f>
        <v>27000</v>
      </c>
      <c r="I21" s="74"/>
      <c r="J21" s="74"/>
      <c r="K21" s="102">
        <f>IFERROR(GT[[#This Row],[Client_Rate]]*(IF(GT[[#This Row],[Qty]]=0,1,GT[[#This Row],[Qty]]))*(IF(GT[[#This Row],[Duration]]=0,1,GT[[#This Row],[Duration]])),"")</f>
        <v>27000</v>
      </c>
      <c r="L21" s="75">
        <f>IFERROR(GT[[#This Row],[Ops_Cost]]*(IF(GT[[#This Row],[Qty]]=0,1,GT[[#This Row],[Qty]]))*(IF(GT[[#This Row],[Duration]]=0,1,GT[[#This Row],[Duration]])),"")</f>
        <v>19000</v>
      </c>
      <c r="M21" s="76">
        <f>IFERROR(GT[[#This Row],[Client_Rate]]-GT[[#This Row],[Rate_Card (Kshs)]],"")</f>
        <v>0</v>
      </c>
      <c r="N21" s="77">
        <f>IFERROR(GT[[#This Row],[Total Cost]]-GT[[#This Row],[Total Ops Cost KE]],"")</f>
        <v>8000</v>
      </c>
      <c r="O21" s="24">
        <f>IFERROR(GT[[#This Row],[Sales Margin (val)]]/GT[[#This Row],[Total Cost]],"")</f>
        <v>0.29629629629629628</v>
      </c>
      <c r="P21" s="78"/>
      <c r="Q21" s="79" t="b">
        <v>0</v>
      </c>
      <c r="R21" s="80"/>
      <c r="S21" s="25">
        <f>IF(GT[[#This Row],[Approval]],GT[[#This Row],[Total Cost]],GT[[#This Row],[MD Proposed Cost]])</f>
        <v>0</v>
      </c>
      <c r="T21" s="81"/>
    </row>
    <row r="22" spans="2:20">
      <c r="B22" s="70" t="s">
        <v>639</v>
      </c>
      <c r="C22" s="71" t="str" cm="1">
        <f t="array" ref="C22">IF(GT[[#This Row],[Category]]="Fabrication",_xlfn.XLOOKUP(GT[[#This Row],[Category]]&amp;GT[[#This Row],[Subcategory]],Rate_Card[Category]&amp;Rate_Card[Description],Rate_Card[item ref no.],""),_xlfn.XLOOKUP(GT[[#This Row],[Category]]&amp;GT[[#This Row],[Subcategory]]&amp;GT[[#This Row],[Items Detailed Description]],Rate_Card[Category]&amp;Rate_Card[Description]&amp;Rate_Card[Additional Details],Rate_Card[item ref no.],""))</f>
        <v>4wa.59</v>
      </c>
      <c r="D22" s="70" t="s">
        <v>812</v>
      </c>
      <c r="E22" s="72" t="s">
        <v>644</v>
      </c>
      <c r="F22" s="23" cm="1">
        <f t="array" ref="F22">IF(GT[[#This Row],[Category]]="Fabrication",_xlfn.XLOOKUP($F$1&amp;GT[[#This Row],[Category]]&amp;GT[[#This Row],[Subcategory]],Rate_Card[Pricelist]&amp;Rate_Card[Category]&amp;Rate_Card[Description],Rate_Card[Ops - Brisk_Cost],""),_xlfn.XLOOKUP($F$1&amp;GT[[#This Row],[Category]]&amp;GT[[#This Row],[Subcategory]]&amp;GT[[#This Row],[Items Detailed Description]],Rate_Card[Pricelist]&amp;Rate_Card[Category]&amp;Rate_Card[Description]&amp;Rate_Card[Additional Details],Rate_Card[Ops - Brisk_Cost],""))</f>
        <v>1500</v>
      </c>
      <c r="G22" s="23" cm="1">
        <f t="array" ref="G22">IF(GT[[#This Row],[Category]]="Fabrication",_xlfn.XLOOKUP($F$1&amp;GT[[#This Row],[Category]]&amp;GT[[#This Row],[Subcategory]],Rate_Card[Pricelist]&amp;Rate_Card[Category]&amp;Rate_Card[Description],Rate_Card[Client Cost],""),_xlfn.XLOOKUP($F$1&amp;GT[[#This Row],[Category]]&amp;GT[[#This Row],[Subcategory]]&amp;GT[[#This Row],[Items Detailed Description]],Rate_Card[Pricelist]&amp;Rate_Card[Category]&amp;Rate_Card[Description]&amp;Rate_Card[Additional Details],Rate_Card[Client Cost],""))</f>
        <v>2000</v>
      </c>
      <c r="H22" s="73">
        <f>GT[[#This Row],[Rate_Card (Kshs)]]</f>
        <v>2000</v>
      </c>
      <c r="I22" s="74"/>
      <c r="J22" s="74"/>
      <c r="K22" s="102">
        <f>IFERROR(GT[[#This Row],[Client_Rate]]*(IF(GT[[#This Row],[Qty]]=0,1,GT[[#This Row],[Qty]]))*(IF(GT[[#This Row],[Duration]]=0,1,GT[[#This Row],[Duration]])),"")</f>
        <v>2000</v>
      </c>
      <c r="L22" s="75">
        <f>IFERROR(GT[[#This Row],[Ops_Cost]]*(IF(GT[[#This Row],[Qty]]=0,1,GT[[#This Row],[Qty]]))*(IF(GT[[#This Row],[Duration]]=0,1,GT[[#This Row],[Duration]])),"")</f>
        <v>1500</v>
      </c>
      <c r="M22" s="76">
        <f>IFERROR(GT[[#This Row],[Client_Rate]]-GT[[#This Row],[Rate_Card (Kshs)]],"")</f>
        <v>0</v>
      </c>
      <c r="N22" s="77">
        <f>IFERROR(GT[[#This Row],[Total Cost]]-GT[[#This Row],[Total Ops Cost KE]],"")</f>
        <v>500</v>
      </c>
      <c r="O22" s="24">
        <f>IFERROR(GT[[#This Row],[Sales Margin (val)]]/GT[[#This Row],[Total Cost]],"")</f>
        <v>0.25</v>
      </c>
      <c r="P22" s="78"/>
      <c r="Q22" s="79" t="b">
        <v>0</v>
      </c>
      <c r="R22" s="80"/>
      <c r="S22" s="25">
        <f>IF(GT[[#This Row],[Approval]],GT[[#This Row],[Total Cost]],GT[[#This Row],[MD Proposed Cost]])</f>
        <v>0</v>
      </c>
      <c r="T22" s="81"/>
    </row>
    <row r="23" spans="2:20" ht="24.95">
      <c r="B23" s="70" t="s">
        <v>506</v>
      </c>
      <c r="C23" s="71" t="str" cm="1">
        <f t="array" ref="C23">IF(GT[[#This Row],[Category]]="Fabrication",_xlfn.XLOOKUP(GT[[#This Row],[Category]]&amp;GT[[#This Row],[Subcategory]],Rate_Card[Category]&amp;Rate_Card[Description],Rate_Card[item ref no.],""),_xlfn.XLOOKUP(GT[[#This Row],[Category]]&amp;GT[[#This Row],[Subcategory]]&amp;GT[[#This Row],[Items Detailed Description]],Rate_Card[Category]&amp;Rate_Card[Description]&amp;Rate_Card[Additional Details],Rate_Card[item ref no.],""))</f>
        <v>4pe.40</v>
      </c>
      <c r="D23" s="70" t="s">
        <v>574</v>
      </c>
      <c r="E23" s="72" t="s">
        <v>575</v>
      </c>
      <c r="F23" s="23" cm="1">
        <f t="array" ref="F23">IF(GT[[#This Row],[Category]]="Fabrication",_xlfn.XLOOKUP($F$1&amp;GT[[#This Row],[Category]]&amp;GT[[#This Row],[Subcategory]],Rate_Card[Pricelist]&amp;Rate_Card[Category]&amp;Rate_Card[Description],Rate_Card[Ops - Brisk_Cost],""),_xlfn.XLOOKUP($F$1&amp;GT[[#This Row],[Category]]&amp;GT[[#This Row],[Subcategory]]&amp;GT[[#This Row],[Items Detailed Description]],Rate_Card[Pricelist]&amp;Rate_Card[Category]&amp;Rate_Card[Description]&amp;Rate_Card[Additional Details],Rate_Card[Ops - Brisk_Cost],""))</f>
        <v>1000</v>
      </c>
      <c r="G23" s="23" cm="1">
        <f t="array" ref="G23">IF(GT[[#This Row],[Category]]="Fabrication",_xlfn.XLOOKUP($F$1&amp;GT[[#This Row],[Category]]&amp;GT[[#This Row],[Subcategory]],Rate_Card[Pricelist]&amp;Rate_Card[Category]&amp;Rate_Card[Description],Rate_Card[Client Cost],""),_xlfn.XLOOKUP($F$1&amp;GT[[#This Row],[Category]]&amp;GT[[#This Row],[Subcategory]]&amp;GT[[#This Row],[Items Detailed Description]],Rate_Card[Pricelist]&amp;Rate_Card[Category]&amp;Rate_Card[Description]&amp;Rate_Card[Additional Details],Rate_Card[Client Cost],""))</f>
        <v>2000</v>
      </c>
      <c r="H23" s="73">
        <f>GT[[#This Row],[Rate_Card (Kshs)]]</f>
        <v>2000</v>
      </c>
      <c r="I23" s="74"/>
      <c r="J23" s="74"/>
      <c r="K23" s="102">
        <f>IFERROR(GT[[#This Row],[Client_Rate]]*(IF(GT[[#This Row],[Qty]]=0,1,GT[[#This Row],[Qty]]))*(IF(GT[[#This Row],[Duration]]=0,1,GT[[#This Row],[Duration]])),"")</f>
        <v>2000</v>
      </c>
      <c r="L23" s="75">
        <f>IFERROR(GT[[#This Row],[Ops_Cost]]*(IF(GT[[#This Row],[Qty]]=0,1,GT[[#This Row],[Qty]]))*(IF(GT[[#This Row],[Duration]]=0,1,GT[[#This Row],[Duration]])),"")</f>
        <v>1000</v>
      </c>
      <c r="M23" s="76">
        <f>IFERROR(GT[[#This Row],[Client_Rate]]-GT[[#This Row],[Rate_Card (Kshs)]],"")</f>
        <v>0</v>
      </c>
      <c r="N23" s="77">
        <f>IFERROR(GT[[#This Row],[Total Cost]]-GT[[#This Row],[Total Ops Cost KE]],"")</f>
        <v>1000</v>
      </c>
      <c r="O23" s="24">
        <f>IFERROR(GT[[#This Row],[Sales Margin (val)]]/GT[[#This Row],[Total Cost]],"")</f>
        <v>0.5</v>
      </c>
      <c r="P23" s="78"/>
      <c r="Q23" s="79" t="b">
        <v>0</v>
      </c>
      <c r="R23" s="80"/>
      <c r="S23" s="25">
        <f>IF(GT[[#This Row],[Approval]],GT[[#This Row],[Total Cost]],GT[[#This Row],[MD Proposed Cost]])</f>
        <v>0</v>
      </c>
      <c r="T23" s="81"/>
    </row>
    <row r="24" spans="2:20" ht="24.95">
      <c r="B24" s="70" t="s">
        <v>506</v>
      </c>
      <c r="C24" s="71" t="str" cm="1">
        <f t="array" ref="C24">IF(GT[[#This Row],[Category]]="Fabrication",_xlfn.XLOOKUP(GT[[#This Row],[Category]]&amp;GT[[#This Row],[Subcategory]],Rate_Card[Category]&amp;Rate_Card[Description],Rate_Card[item ref no.],""),_xlfn.XLOOKUP(GT[[#This Row],[Category]]&amp;GT[[#This Row],[Subcategory]]&amp;GT[[#This Row],[Items Detailed Description]],Rate_Card[Category]&amp;Rate_Card[Description]&amp;Rate_Card[Additional Details],Rate_Card[item ref no.],""))</f>
        <v>4pe.55</v>
      </c>
      <c r="D24" s="70" t="s">
        <v>613</v>
      </c>
      <c r="E24" s="72" t="s">
        <v>511</v>
      </c>
      <c r="F24" s="23" t="str" cm="1">
        <f t="array" ref="F24">IF(GT[[#This Row],[Category]]="Fabrication",_xlfn.XLOOKUP($F$1&amp;GT[[#This Row],[Category]]&amp;GT[[#This Row],[Subcategory]],Rate_Card[Pricelist]&amp;Rate_Card[Category]&amp;Rate_Card[Description],Rate_Card[Ops - Brisk_Cost],""),_xlfn.XLOOKUP($F$1&amp;GT[[#This Row],[Category]]&amp;GT[[#This Row],[Subcategory]]&amp;GT[[#This Row],[Items Detailed Description]],Rate_Card[Pricelist]&amp;Rate_Card[Category]&amp;Rate_Card[Description]&amp;Rate_Card[Additional Details],Rate_Card[Ops - Brisk_Cost],""))</f>
        <v/>
      </c>
      <c r="G24" s="23" t="str" cm="1">
        <f t="array" ref="G24">IF(GT[[#This Row],[Category]]="Fabrication",_xlfn.XLOOKUP($F$1&amp;GT[[#This Row],[Category]]&amp;GT[[#This Row],[Subcategory]],Rate_Card[Pricelist]&amp;Rate_Card[Category]&amp;Rate_Card[Description],Rate_Card[Client Cost],""),_xlfn.XLOOKUP($F$1&amp;GT[[#This Row],[Category]]&amp;GT[[#This Row],[Subcategory]]&amp;GT[[#This Row],[Items Detailed Description]],Rate_Card[Pricelist]&amp;Rate_Card[Category]&amp;Rate_Card[Description]&amp;Rate_Card[Additional Details],Rate_Card[Client Cost],""))</f>
        <v/>
      </c>
      <c r="H24" s="73" t="str">
        <f>GT[[#This Row],[Rate_Card (Kshs)]]</f>
        <v/>
      </c>
      <c r="I24" s="74"/>
      <c r="J24" s="74"/>
      <c r="K24" s="102" t="str">
        <f>IFERROR(GT[[#This Row],[Client_Rate]]*(IF(GT[[#This Row],[Qty]]=0,1,GT[[#This Row],[Qty]]))*(IF(GT[[#This Row],[Duration]]=0,1,GT[[#This Row],[Duration]])),"")</f>
        <v/>
      </c>
      <c r="L24" s="75" t="str">
        <f>IFERROR(GT[[#This Row],[Ops_Cost]]*(IF(GT[[#This Row],[Qty]]=0,1,GT[[#This Row],[Qty]]))*(IF(GT[[#This Row],[Duration]]=0,1,GT[[#This Row],[Duration]])),"")</f>
        <v/>
      </c>
      <c r="M24" s="76" t="str">
        <f>IFERROR(GT[[#This Row],[Client_Rate]]-GT[[#This Row],[Rate_Card (Kshs)]],"")</f>
        <v/>
      </c>
      <c r="N24" s="77" t="str">
        <f>IFERROR(GT[[#This Row],[Total Cost]]-GT[[#This Row],[Total Ops Cost KE]],"")</f>
        <v/>
      </c>
      <c r="O24" s="24" t="str">
        <f>IFERROR(GT[[#This Row],[Sales Margin (val)]]/GT[[#This Row],[Total Cost]],"")</f>
        <v/>
      </c>
      <c r="P24" s="78"/>
      <c r="Q24" s="79" t="b">
        <v>0</v>
      </c>
      <c r="R24" s="80"/>
      <c r="S24" s="25">
        <f>IF(GT[[#This Row],[Approval]],GT[[#This Row],[Total Cost]],GT[[#This Row],[MD Proposed Cost]])</f>
        <v>0</v>
      </c>
      <c r="T24" s="81"/>
    </row>
    <row r="25" spans="2:20" ht="24.95">
      <c r="B25" s="70" t="s">
        <v>506</v>
      </c>
      <c r="C25" s="71" t="str" cm="1">
        <f t="array" ref="C25">IF(GT[[#This Row],[Category]]="Fabrication",_xlfn.XLOOKUP(GT[[#This Row],[Category]]&amp;GT[[#This Row],[Subcategory]],Rate_Card[Category]&amp;Rate_Card[Description],Rate_Card[item ref no.],""),_xlfn.XLOOKUP(GT[[#This Row],[Category]]&amp;GT[[#This Row],[Subcategory]]&amp;GT[[#This Row],[Items Detailed Description]],Rate_Card[Category]&amp;Rate_Card[Description]&amp;Rate_Card[Additional Details],Rate_Card[item ref no.],""))</f>
        <v>4pe.17</v>
      </c>
      <c r="D25" s="70" t="s">
        <v>550</v>
      </c>
      <c r="E25" s="72" t="s">
        <v>544</v>
      </c>
      <c r="F25" s="23" cm="1">
        <f t="array" ref="F25">IF(GT[[#This Row],[Category]]="Fabrication",_xlfn.XLOOKUP($F$1&amp;GT[[#This Row],[Category]]&amp;GT[[#This Row],[Subcategory]],Rate_Card[Pricelist]&amp;Rate_Card[Category]&amp;Rate_Card[Description],Rate_Card[Ops - Brisk_Cost],""),_xlfn.XLOOKUP($F$1&amp;GT[[#This Row],[Category]]&amp;GT[[#This Row],[Subcategory]]&amp;GT[[#This Row],[Items Detailed Description]],Rate_Card[Pricelist]&amp;Rate_Card[Category]&amp;Rate_Card[Description]&amp;Rate_Card[Additional Details],Rate_Card[Ops - Brisk_Cost],""))</f>
        <v>5200</v>
      </c>
      <c r="G25" s="23" cm="1">
        <f t="array" ref="G25">IF(GT[[#This Row],[Category]]="Fabrication",_xlfn.XLOOKUP($F$1&amp;GT[[#This Row],[Category]]&amp;GT[[#This Row],[Subcategory]],Rate_Card[Pricelist]&amp;Rate_Card[Category]&amp;Rate_Card[Description],Rate_Card[Client Cost],""),_xlfn.XLOOKUP($F$1&amp;GT[[#This Row],[Category]]&amp;GT[[#This Row],[Subcategory]]&amp;GT[[#This Row],[Items Detailed Description]],Rate_Card[Pricelist]&amp;Rate_Card[Category]&amp;Rate_Card[Description]&amp;Rate_Card[Additional Details],Rate_Card[Client Cost],""))</f>
        <v>10000</v>
      </c>
      <c r="H25" s="73">
        <f>GT[[#This Row],[Rate_Card (Kshs)]]</f>
        <v>10000</v>
      </c>
      <c r="I25" s="74"/>
      <c r="J25" s="74"/>
      <c r="K25" s="102">
        <f>IFERROR(GT[[#This Row],[Client_Rate]]*(IF(GT[[#This Row],[Qty]]=0,1,GT[[#This Row],[Qty]]))*(IF(GT[[#This Row],[Duration]]=0,1,GT[[#This Row],[Duration]])),"")</f>
        <v>10000</v>
      </c>
      <c r="L25" s="75">
        <f>IFERROR(GT[[#This Row],[Ops_Cost]]*(IF(GT[[#This Row],[Qty]]=0,1,GT[[#This Row],[Qty]]))*(IF(GT[[#This Row],[Duration]]=0,1,GT[[#This Row],[Duration]])),"")</f>
        <v>5200</v>
      </c>
      <c r="M25" s="76">
        <f>IFERROR(GT[[#This Row],[Client_Rate]]-GT[[#This Row],[Rate_Card (Kshs)]],"")</f>
        <v>0</v>
      </c>
      <c r="N25" s="77">
        <f>IFERROR(GT[[#This Row],[Total Cost]]-GT[[#This Row],[Total Ops Cost KE]],"")</f>
        <v>4800</v>
      </c>
      <c r="O25" s="24">
        <f>IFERROR(GT[[#This Row],[Sales Margin (val)]]/GT[[#This Row],[Total Cost]],"")</f>
        <v>0.48</v>
      </c>
      <c r="P25" s="78"/>
      <c r="Q25" s="79" t="b">
        <v>0</v>
      </c>
      <c r="R25" s="80"/>
      <c r="S25" s="25">
        <f>IF(GT[[#This Row],[Approval]],GT[[#This Row],[Total Cost]],GT[[#This Row],[MD Proposed Cost]])</f>
        <v>0</v>
      </c>
      <c r="T25" s="81"/>
    </row>
    <row r="26" spans="2:20">
      <c r="B26" s="70" t="s">
        <v>506</v>
      </c>
      <c r="C26" s="71" t="str" cm="1">
        <f t="array" ref="C26">IF(GT[[#This Row],[Category]]="Fabrication",_xlfn.XLOOKUP(GT[[#This Row],[Category]]&amp;GT[[#This Row],[Subcategory]],Rate_Card[Category]&amp;Rate_Card[Description],Rate_Card[item ref no.],""),_xlfn.XLOOKUP(GT[[#This Row],[Category]]&amp;GT[[#This Row],[Subcategory]]&amp;GT[[#This Row],[Items Detailed Description]],Rate_Card[Category]&amp;Rate_Card[Description]&amp;Rate_Card[Additional Details],Rate_Card[item ref no.],""))</f>
        <v>4pe.10</v>
      </c>
      <c r="D26" s="70" t="s">
        <v>527</v>
      </c>
      <c r="E26" s="72" t="s">
        <v>511</v>
      </c>
      <c r="F26" s="23" cm="1">
        <f t="array" ref="F26">IF(GT[[#This Row],[Category]]="Fabrication",_xlfn.XLOOKUP($F$1&amp;GT[[#This Row],[Category]]&amp;GT[[#This Row],[Subcategory]],Rate_Card[Pricelist]&amp;Rate_Card[Category]&amp;Rate_Card[Description],Rate_Card[Ops - Brisk_Cost],""),_xlfn.XLOOKUP($F$1&amp;GT[[#This Row],[Category]]&amp;GT[[#This Row],[Subcategory]]&amp;GT[[#This Row],[Items Detailed Description]],Rate_Card[Pricelist]&amp;Rate_Card[Category]&amp;Rate_Card[Description]&amp;Rate_Card[Additional Details],Rate_Card[Ops - Brisk_Cost],""))</f>
        <v>2200</v>
      </c>
      <c r="G26" s="23" cm="1">
        <f t="array" ref="G26">IF(GT[[#This Row],[Category]]="Fabrication",_xlfn.XLOOKUP($F$1&amp;GT[[#This Row],[Category]]&amp;GT[[#This Row],[Subcategory]],Rate_Card[Pricelist]&amp;Rate_Card[Category]&amp;Rate_Card[Description],Rate_Card[Client Cost],""),_xlfn.XLOOKUP($F$1&amp;GT[[#This Row],[Category]]&amp;GT[[#This Row],[Subcategory]]&amp;GT[[#This Row],[Items Detailed Description]],Rate_Card[Pricelist]&amp;Rate_Card[Category]&amp;Rate_Card[Description]&amp;Rate_Card[Additional Details],Rate_Card[Client Cost],""))</f>
        <v>2200</v>
      </c>
      <c r="H26" s="73">
        <f>GT[[#This Row],[Rate_Card (Kshs)]]</f>
        <v>2200</v>
      </c>
      <c r="I26" s="74"/>
      <c r="J26" s="74"/>
      <c r="K26" s="102">
        <f>IFERROR(GT[[#This Row],[Client_Rate]]*(IF(GT[[#This Row],[Qty]]=0,1,GT[[#This Row],[Qty]]))*(IF(GT[[#This Row],[Duration]]=0,1,GT[[#This Row],[Duration]])),"")</f>
        <v>2200</v>
      </c>
      <c r="L26" s="75">
        <f>IFERROR(GT[[#This Row],[Ops_Cost]]*(IF(GT[[#This Row],[Qty]]=0,1,GT[[#This Row],[Qty]]))*(IF(GT[[#This Row],[Duration]]=0,1,GT[[#This Row],[Duration]])),"")</f>
        <v>2200</v>
      </c>
      <c r="M26" s="76">
        <f>IFERROR(GT[[#This Row],[Client_Rate]]-GT[[#This Row],[Rate_Card (Kshs)]],"")</f>
        <v>0</v>
      </c>
      <c r="N26" s="77">
        <f>IFERROR(GT[[#This Row],[Total Cost]]-GT[[#This Row],[Total Ops Cost KE]],"")</f>
        <v>0</v>
      </c>
      <c r="O26" s="24">
        <f>IFERROR(GT[[#This Row],[Sales Margin (val)]]/GT[[#This Row],[Total Cost]],"")</f>
        <v>0</v>
      </c>
      <c r="P26" s="78"/>
      <c r="Q26" s="79" t="b">
        <v>0</v>
      </c>
      <c r="R26" s="80"/>
      <c r="S26" s="25">
        <f>IF(GT[[#This Row],[Approval]],GT[[#This Row],[Total Cost]],GT[[#This Row],[MD Proposed Cost]])</f>
        <v>0</v>
      </c>
      <c r="T26" s="81"/>
    </row>
    <row r="27" spans="2:20" ht="24.95">
      <c r="B27" s="70" t="s">
        <v>506</v>
      </c>
      <c r="C27" s="71" t="str" cm="1">
        <f t="array" ref="C27">IF(GT[[#This Row],[Category]]="Fabrication",_xlfn.XLOOKUP(GT[[#This Row],[Category]]&amp;GT[[#This Row],[Subcategory]],Rate_Card[Category]&amp;Rate_Card[Description],Rate_Card[item ref no.],""),_xlfn.XLOOKUP(GT[[#This Row],[Category]]&amp;GT[[#This Row],[Subcategory]]&amp;GT[[#This Row],[Items Detailed Description]],Rate_Card[Category]&amp;Rate_Card[Description]&amp;Rate_Card[Additional Details],Rate_Card[item ref no.],""))</f>
        <v>4pe.33</v>
      </c>
      <c r="D27" s="70" t="s">
        <v>628</v>
      </c>
      <c r="E27" s="72" t="s">
        <v>618</v>
      </c>
      <c r="F27" s="23" cm="1">
        <f t="array" ref="F27">IF(GT[[#This Row],[Category]]="Fabrication",_xlfn.XLOOKUP($F$1&amp;GT[[#This Row],[Category]]&amp;GT[[#This Row],[Subcategory]],Rate_Card[Pricelist]&amp;Rate_Card[Category]&amp;Rate_Card[Description],Rate_Card[Ops - Brisk_Cost],""),_xlfn.XLOOKUP($F$1&amp;GT[[#This Row],[Category]]&amp;GT[[#This Row],[Subcategory]]&amp;GT[[#This Row],[Items Detailed Description]],Rate_Card[Pricelist]&amp;Rate_Card[Category]&amp;Rate_Card[Description]&amp;Rate_Card[Additional Details],Rate_Card[Ops - Brisk_Cost],""))</f>
        <v>7500</v>
      </c>
      <c r="G27" s="23" cm="1">
        <f t="array" ref="G27">IF(GT[[#This Row],[Category]]="Fabrication",_xlfn.XLOOKUP($F$1&amp;GT[[#This Row],[Category]]&amp;GT[[#This Row],[Subcategory]],Rate_Card[Pricelist]&amp;Rate_Card[Category]&amp;Rate_Card[Description],Rate_Card[Client Cost],""),_xlfn.XLOOKUP($F$1&amp;GT[[#This Row],[Category]]&amp;GT[[#This Row],[Subcategory]]&amp;GT[[#This Row],[Items Detailed Description]],Rate_Card[Pricelist]&amp;Rate_Card[Category]&amp;Rate_Card[Description]&amp;Rate_Card[Additional Details],Rate_Card[Client Cost],""))</f>
        <v>10000</v>
      </c>
      <c r="H27" s="73">
        <f>GT[[#This Row],[Rate_Card (Kshs)]]</f>
        <v>10000</v>
      </c>
      <c r="I27" s="74"/>
      <c r="J27" s="74"/>
      <c r="K27" s="102">
        <f>IFERROR(GT[[#This Row],[Client_Rate]]*(IF(GT[[#This Row],[Qty]]=0,1,GT[[#This Row],[Qty]]))*(IF(GT[[#This Row],[Duration]]=0,1,GT[[#This Row],[Duration]])),"")</f>
        <v>10000</v>
      </c>
      <c r="L27" s="75">
        <f>IFERROR(GT[[#This Row],[Ops_Cost]]*(IF(GT[[#This Row],[Qty]]=0,1,GT[[#This Row],[Qty]]))*(IF(GT[[#This Row],[Duration]]=0,1,GT[[#This Row],[Duration]])),"")</f>
        <v>7500</v>
      </c>
      <c r="M27" s="76">
        <f>IFERROR(GT[[#This Row],[Client_Rate]]-GT[[#This Row],[Rate_Card (Kshs)]],"")</f>
        <v>0</v>
      </c>
      <c r="N27" s="77">
        <f>IFERROR(GT[[#This Row],[Total Cost]]-GT[[#This Row],[Total Ops Cost KE]],"")</f>
        <v>2500</v>
      </c>
      <c r="O27" s="24">
        <f>IFERROR(GT[[#This Row],[Sales Margin (val)]]/GT[[#This Row],[Total Cost]],"")</f>
        <v>0.25</v>
      </c>
      <c r="P27" s="78"/>
      <c r="Q27" s="79" t="b">
        <v>0</v>
      </c>
      <c r="R27" s="80"/>
      <c r="S27" s="25">
        <f>IF(GT[[#This Row],[Approval]],GT[[#This Row],[Total Cost]],GT[[#This Row],[MD Proposed Cost]])</f>
        <v>0</v>
      </c>
      <c r="T27" s="81"/>
    </row>
    <row r="28" spans="2:20">
      <c r="B28" s="70" t="s">
        <v>404</v>
      </c>
      <c r="C28" s="71" t="str" cm="1">
        <f t="array" ref="C28">IF(GT[[#This Row],[Category]]="Fabrication",_xlfn.XLOOKUP(GT[[#This Row],[Category]]&amp;GT[[#This Row],[Subcategory]],Rate_Card[Category]&amp;Rate_Card[Description],Rate_Card[item ref no.],""),_xlfn.XLOOKUP(GT[[#This Row],[Category]]&amp;GT[[#This Row],[Subcategory]]&amp;GT[[#This Row],[Items Detailed Description]],Rate_Card[Category]&amp;Rate_Card[Description]&amp;Rate_Card[Additional Details],Rate_Card[item ref no.],""))</f>
        <v/>
      </c>
      <c r="D28" s="70" t="s">
        <v>405</v>
      </c>
      <c r="E28" s="72" t="s">
        <v>879</v>
      </c>
      <c r="F28" s="23" t="str" cm="1">
        <f t="array" ref="F28">IF(GT[[#This Row],[Category]]="Fabrication",_xlfn.XLOOKUP($F$1&amp;GT[[#This Row],[Category]]&amp;GT[[#This Row],[Subcategory]],Rate_Card[Pricelist]&amp;Rate_Card[Category]&amp;Rate_Card[Description],Rate_Card[Ops - Brisk_Cost],""),_xlfn.XLOOKUP($F$1&amp;GT[[#This Row],[Category]]&amp;GT[[#This Row],[Subcategory]]&amp;GT[[#This Row],[Items Detailed Description]],Rate_Card[Pricelist]&amp;Rate_Card[Category]&amp;Rate_Card[Description]&amp;Rate_Card[Additional Details],Rate_Card[Ops - Brisk_Cost],""))</f>
        <v/>
      </c>
      <c r="G28" s="23" t="str" cm="1">
        <f t="array" ref="G28">IF(GT[[#This Row],[Category]]="Fabrication",_xlfn.XLOOKUP($F$1&amp;GT[[#This Row],[Category]]&amp;GT[[#This Row],[Subcategory]],Rate_Card[Pricelist]&amp;Rate_Card[Category]&amp;Rate_Card[Description],Rate_Card[Client Cost],""),_xlfn.XLOOKUP($F$1&amp;GT[[#This Row],[Category]]&amp;GT[[#This Row],[Subcategory]]&amp;GT[[#This Row],[Items Detailed Description]],Rate_Card[Pricelist]&amp;Rate_Card[Category]&amp;Rate_Card[Description]&amp;Rate_Card[Additional Details],Rate_Card[Client Cost],""))</f>
        <v/>
      </c>
      <c r="H28" s="73" t="str">
        <f>GT[[#This Row],[Rate_Card (Kshs)]]</f>
        <v/>
      </c>
      <c r="I28" s="74"/>
      <c r="J28" s="74"/>
      <c r="K28" s="102" t="str">
        <f>IFERROR(GT[[#This Row],[Client_Rate]]*(IF(GT[[#This Row],[Qty]]=0,1,GT[[#This Row],[Qty]]))*(IF(GT[[#This Row],[Duration]]=0,1,GT[[#This Row],[Duration]])),"")</f>
        <v/>
      </c>
      <c r="L28" s="75" t="str">
        <f>IFERROR(GT[[#This Row],[Ops_Cost]]*(IF(GT[[#This Row],[Qty]]=0,1,GT[[#This Row],[Qty]]))*(IF(GT[[#This Row],[Duration]]=0,1,GT[[#This Row],[Duration]])),"")</f>
        <v/>
      </c>
      <c r="M28" s="76" t="str">
        <f>IFERROR(GT[[#This Row],[Client_Rate]]-GT[[#This Row],[Rate_Card (Kshs)]],"")</f>
        <v/>
      </c>
      <c r="N28" s="77" t="str">
        <f>IFERROR(GT[[#This Row],[Total Cost]]-GT[[#This Row],[Total Ops Cost KE]],"")</f>
        <v/>
      </c>
      <c r="O28" s="24" t="str">
        <f>IFERROR(GT[[#This Row],[Sales Margin (val)]]/GT[[#This Row],[Total Cost]],"")</f>
        <v/>
      </c>
      <c r="P28" s="78"/>
      <c r="Q28" s="79" t="b">
        <v>0</v>
      </c>
      <c r="R28" s="80"/>
      <c r="S28" s="25">
        <f>IF(GT[[#This Row],[Approval]],GT[[#This Row],[Total Cost]],GT[[#This Row],[MD Proposed Cost]])</f>
        <v>0</v>
      </c>
      <c r="T28" s="81"/>
    </row>
    <row r="29" spans="2:20">
      <c r="B29" s="82"/>
      <c r="C29" s="83" t="str" cm="1">
        <f t="array" ref="C29">IF(GT[[#This Row],[Category]]="Fabrication",_xlfn.XLOOKUP(GT[[#This Row],[Category]]&amp;GT[[#This Row],[Subcategory]],Rate_Card[Category]&amp;Rate_Card[Description],Rate_Card[item ref no.],""),_xlfn.XLOOKUP(GT[[#This Row],[Category]]&amp;GT[[#This Row],[Subcategory]]&amp;GT[[#This Row],[Items Detailed Description]],Rate_Card[Category]&amp;Rate_Card[Description]&amp;Rate_Card[Additional Details],Rate_Card[item ref no.],""))</f>
        <v/>
      </c>
      <c r="D29" s="82"/>
      <c r="E29" s="82"/>
      <c r="F29" s="21" t="str" cm="1">
        <f t="array" ref="F29">IF(GT[[#This Row],[Category]]="Fabrication",_xlfn.XLOOKUP($F$1&amp;GT[[#This Row],[Category]]&amp;GT[[#This Row],[Subcategory]],Rate_Card[Pricelist]&amp;Rate_Card[Category]&amp;Rate_Card[Description],Rate_Card[Ops - Brisk_Cost],""),_xlfn.XLOOKUP($F$1&amp;GT[[#This Row],[Category]]&amp;GT[[#This Row],[Subcategory]]&amp;GT[[#This Row],[Items Detailed Description]],Rate_Card[Pricelist]&amp;Rate_Card[Category]&amp;Rate_Card[Description]&amp;Rate_Card[Additional Details],Rate_Card[Ops - Brisk_Cost],""))</f>
        <v/>
      </c>
      <c r="G29" s="21" t="str" cm="1">
        <f t="array" ref="G29">IF(GT[[#This Row],[Category]]="Fabrication",_xlfn.XLOOKUP($F$1&amp;GT[[#This Row],[Category]]&amp;GT[[#This Row],[Subcategory]],Rate_Card[Pricelist]&amp;Rate_Card[Category]&amp;Rate_Card[Description],Rate_Card[Client Cost],""),_xlfn.XLOOKUP($F$1&amp;GT[[#This Row],[Category]]&amp;GT[[#This Row],[Subcategory]]&amp;GT[[#This Row],[Items Detailed Description]],Rate_Card[Pricelist]&amp;Rate_Card[Category]&amp;Rate_Card[Description]&amp;Rate_Card[Additional Details],Rate_Card[Client Cost],""))</f>
        <v/>
      </c>
      <c r="H29" s="85" t="str">
        <f>GT[[#This Row],[Rate_Card (Kshs)]]</f>
        <v/>
      </c>
      <c r="I29" s="99"/>
      <c r="J29" s="99"/>
      <c r="K29" s="103" t="str">
        <f>IFERROR(GT[[#This Row],[Client_Rate]]*(IF(GT[[#This Row],[Qty]]=0,1,GT[[#This Row],[Qty]]))*(IF(GT[[#This Row],[Duration]]=0,1,GT[[#This Row],[Duration]])),"")</f>
        <v/>
      </c>
      <c r="L29" s="16" t="str">
        <f>IFERROR(GT[[#This Row],[Ops_Cost]]*(IF(GT[[#This Row],[Qty]]=0,1,GT[[#This Row],[Qty]]))*(IF(GT[[#This Row],[Duration]]=0,1,GT[[#This Row],[Duration]])),"")</f>
        <v/>
      </c>
      <c r="M29" s="86" t="str">
        <f>IFERROR(GT[[#This Row],[Client_Rate]]-GT[[#This Row],[Rate_Card (Kshs)]],"")</f>
        <v/>
      </c>
      <c r="N29" s="87" t="str">
        <f>IFERROR(GT[[#This Row],[Total Cost]]-GT[[#This Row],[Total Ops Cost KE]],"")</f>
        <v/>
      </c>
      <c r="O29" s="15" t="str">
        <f>IFERROR(GT[[#This Row],[Sales Margin (val)]]/GT[[#This Row],[Total Cost]],"")</f>
        <v/>
      </c>
      <c r="P29" s="88"/>
      <c r="Q29" s="100" t="b">
        <v>0</v>
      </c>
      <c r="R29" s="90"/>
      <c r="S29" s="7">
        <f>IF(GT[[#This Row],[Approval]],GT[[#This Row],[Total Cost]],GT[[#This Row],[MD Proposed Cost]])</f>
        <v>0</v>
      </c>
      <c r="T29" s="91"/>
    </row>
    <row r="30" spans="2:20" ht="12.95" thickBot="1">
      <c r="B30" s="82"/>
      <c r="C30" s="83"/>
      <c r="D30" s="82"/>
      <c r="E30" s="84"/>
      <c r="F30" s="21"/>
      <c r="G30" s="21"/>
      <c r="H30" s="85"/>
      <c r="I30" s="82"/>
      <c r="J30" s="82"/>
      <c r="K30" s="103"/>
      <c r="L30" s="16"/>
      <c r="M30" s="86"/>
      <c r="N30" s="87"/>
      <c r="O30" s="15"/>
      <c r="P30" s="88"/>
      <c r="Q30" s="89"/>
      <c r="R30" s="90"/>
      <c r="S30" s="7"/>
      <c r="T30" s="91"/>
    </row>
    <row r="31" spans="2:20" ht="23.1" customHeight="1" thickTop="1">
      <c r="B31" s="137" t="s">
        <v>865</v>
      </c>
      <c r="C31" s="138"/>
      <c r="D31" s="138"/>
      <c r="E31" s="138"/>
      <c r="F31" s="138"/>
      <c r="G31" s="138"/>
      <c r="H31" s="138"/>
      <c r="I31" s="138"/>
      <c r="J31" s="139"/>
      <c r="K31" s="8">
        <f>SUM(GT[Total Cost])</f>
        <v>186540</v>
      </c>
      <c r="L31" s="3">
        <f>SUM(GT[Total Ops Cost KE])</f>
        <v>89900</v>
      </c>
      <c r="M31" s="5">
        <f>SUM(GT[Var (Rate Card Vs Client)])</f>
        <v>0</v>
      </c>
      <c r="N31" s="3">
        <f>SUM(GT[Sales Margin (val)])</f>
        <v>96640</v>
      </c>
      <c r="O31" s="4">
        <f>IFERROR(1-L31/K31,0)</f>
        <v>0.51806583038490406</v>
      </c>
      <c r="P31" s="13"/>
      <c r="Q31" s="10"/>
      <c r="R31" s="11">
        <f t="shared" ref="R31:R33" si="0">IF(O31,I31,Q31)</f>
        <v>0</v>
      </c>
      <c r="S31" s="92">
        <f>SUM(GT[Final Approved])</f>
        <v>500</v>
      </c>
      <c r="T31" s="93"/>
    </row>
    <row r="32" spans="2:20" ht="23.1" customHeight="1">
      <c r="B32" s="140">
        <v>0.15</v>
      </c>
      <c r="C32" s="141"/>
      <c r="D32" s="141"/>
      <c r="E32" s="141"/>
      <c r="F32" s="141"/>
      <c r="G32" s="141"/>
      <c r="H32" s="141"/>
      <c r="I32" s="141"/>
      <c r="J32" s="142"/>
      <c r="K32" s="9">
        <f>K31*B32</f>
        <v>27981</v>
      </c>
      <c r="L32" s="94"/>
      <c r="M32" s="94"/>
      <c r="N32" s="94"/>
      <c r="O32" s="94"/>
      <c r="P32" s="95"/>
      <c r="Q32" s="96"/>
      <c r="R32" s="12">
        <f t="shared" si="0"/>
        <v>0</v>
      </c>
      <c r="S32" s="97"/>
      <c r="T32" s="27"/>
    </row>
    <row r="33" spans="2:20" ht="23.1" customHeight="1">
      <c r="B33" s="143" t="s">
        <v>866</v>
      </c>
      <c r="C33" s="144"/>
      <c r="D33" s="144"/>
      <c r="E33" s="144"/>
      <c r="F33" s="144"/>
      <c r="G33" s="144"/>
      <c r="H33" s="144"/>
      <c r="I33" s="144"/>
      <c r="J33" s="145"/>
      <c r="K33" s="9">
        <f>SUM(K31:K32)</f>
        <v>214521</v>
      </c>
      <c r="L33" s="94"/>
      <c r="M33" s="94"/>
      <c r="N33" s="94"/>
      <c r="O33" s="94"/>
      <c r="P33" s="95"/>
      <c r="Q33" s="96"/>
      <c r="R33" s="12">
        <f t="shared" si="0"/>
        <v>0</v>
      </c>
      <c r="S33" s="97"/>
      <c r="T33" s="27"/>
    </row>
    <row r="34" spans="2:20">
      <c r="C34" s="28"/>
      <c r="D34" s="28"/>
      <c r="E34" s="29"/>
      <c r="F34" s="33"/>
      <c r="G34" s="31"/>
      <c r="H34" s="30"/>
      <c r="I34" s="31"/>
      <c r="J34" s="1"/>
      <c r="M34" s="1"/>
    </row>
    <row r="35" spans="2:20">
      <c r="B35" s="28" t="s">
        <v>867</v>
      </c>
      <c r="C35" s="28"/>
      <c r="D35" s="28"/>
      <c r="E35" s="29"/>
      <c r="F35" s="33"/>
      <c r="G35" s="31"/>
      <c r="H35" s="30"/>
      <c r="I35" s="32"/>
      <c r="J35" s="1"/>
      <c r="L35" s="149" t="s">
        <v>868</v>
      </c>
      <c r="M35" s="150"/>
      <c r="N35" s="150"/>
      <c r="O35" s="150"/>
      <c r="P35" s="150"/>
      <c r="Q35" s="151"/>
    </row>
    <row r="36" spans="2:20">
      <c r="B36" s="28" t="s">
        <v>869</v>
      </c>
      <c r="C36" s="28"/>
      <c r="D36" s="28"/>
      <c r="E36" s="29"/>
      <c r="F36" s="33"/>
      <c r="G36" s="31"/>
      <c r="H36" s="30"/>
      <c r="J36" s="1"/>
      <c r="L36" s="152" t="s">
        <v>870</v>
      </c>
      <c r="M36" s="153"/>
      <c r="N36" s="153"/>
      <c r="O36" s="153"/>
      <c r="P36" s="153"/>
      <c r="Q36" s="154"/>
    </row>
    <row r="37" spans="2:20">
      <c r="B37" s="28" t="s">
        <v>871</v>
      </c>
      <c r="C37" s="28"/>
      <c r="D37" s="28"/>
      <c r="E37" s="29"/>
      <c r="F37" s="33"/>
      <c r="G37" s="31"/>
      <c r="H37" s="30"/>
      <c r="I37" s="33"/>
      <c r="J37" s="1"/>
      <c r="L37" s="152" t="s">
        <v>872</v>
      </c>
      <c r="M37" s="153"/>
      <c r="N37" s="153"/>
      <c r="O37" s="153"/>
      <c r="P37" s="153"/>
      <c r="Q37" s="154"/>
    </row>
    <row r="38" spans="2:20">
      <c r="B38" s="28" t="s">
        <v>873</v>
      </c>
      <c r="E38" s="26"/>
      <c r="F38" s="98"/>
      <c r="G38" s="31"/>
      <c r="H38" s="34"/>
      <c r="I38" s="31"/>
      <c r="J38" s="1"/>
      <c r="L38" s="152" t="s">
        <v>874</v>
      </c>
      <c r="M38" s="153"/>
      <c r="N38" s="153"/>
      <c r="O38" s="153"/>
      <c r="P38" s="153"/>
      <c r="Q38" s="154"/>
    </row>
    <row r="39" spans="2:20">
      <c r="E39" s="26"/>
      <c r="F39" s="98"/>
      <c r="G39" s="31"/>
      <c r="H39" s="34"/>
      <c r="I39" s="31"/>
      <c r="J39" s="1"/>
      <c r="M39" s="1"/>
    </row>
    <row r="40" spans="2:20" ht="21.95" customHeight="1">
      <c r="E40" s="26"/>
      <c r="F40" s="98"/>
      <c r="G40" s="31"/>
      <c r="H40" s="34"/>
      <c r="I40" s="31"/>
      <c r="J40" s="1"/>
      <c r="M40" s="1"/>
    </row>
    <row r="41" spans="2:20" ht="21.95" customHeight="1"/>
    <row r="42" spans="2:20" ht="21.95" customHeight="1"/>
    <row r="65" ht="23.1" customHeight="1"/>
    <row r="66" ht="23.1" customHeight="1"/>
    <row r="67" ht="23.1" customHeight="1"/>
  </sheetData>
  <sheetProtection formatCells="0" formatColumns="0" formatRows="0" insertRows="0" deleteRows="0" sort="0" autoFilter="0"/>
  <mergeCells count="18">
    <mergeCell ref="L36:Q36"/>
    <mergeCell ref="N4:R4"/>
    <mergeCell ref="L38:Q38"/>
    <mergeCell ref="C5:D5"/>
    <mergeCell ref="N5:R5"/>
    <mergeCell ref="L6:P6"/>
    <mergeCell ref="Q6:T6"/>
    <mergeCell ref="B31:J31"/>
    <mergeCell ref="B2:B5"/>
    <mergeCell ref="C2:D2"/>
    <mergeCell ref="N2:R2"/>
    <mergeCell ref="C3:D3"/>
    <mergeCell ref="N3:R3"/>
    <mergeCell ref="C4:D4"/>
    <mergeCell ref="L37:Q37"/>
    <mergeCell ref="B32:J32"/>
    <mergeCell ref="B33:J33"/>
    <mergeCell ref="L35:Q35"/>
  </mergeCells>
  <conditionalFormatting sqref="N8:O29">
    <cfRule type="cellIs" dxfId="87" priority="4" operator="lessThan">
      <formula>0</formula>
    </cfRule>
  </conditionalFormatting>
  <conditionalFormatting sqref="O8:O29">
    <cfRule type="cellIs" dxfId="86" priority="1" operator="lessThan">
      <formula>0.4</formula>
    </cfRule>
  </conditionalFormatting>
  <conditionalFormatting sqref="O31">
    <cfRule type="cellIs" dxfId="85" priority="2" operator="lessThan">
      <formula>0.4</formula>
    </cfRule>
    <cfRule type="cellIs" dxfId="84" priority="3" operator="lessThan">
      <formula>0</formula>
    </cfRule>
  </conditionalFormatting>
  <dataValidations count="4">
    <dataValidation type="decimal" allowBlank="1" showInputMessage="1" showErrorMessage="1" prompt="Just write the Agency fee as a percentage e.g 15%_x000a_" sqref="B32:J32" xr:uid="{F987A4C1-6FE9-4269-9642-34CE6216F3B1}">
      <formula1>0</formula1>
      <formula2>1</formula2>
    </dataValidation>
    <dataValidation type="list" showInputMessage="1" showErrorMessage="1" error="You have to pick from the list of Subcategories" prompt="Pick from the list. Depends on the category selected" sqref="D8:D29" xr:uid="{EF959ED8-4113-409B-9030-D7ECDFB7DBD7}">
      <formula1>DDL(mylist,B8)</formula1>
    </dataValidation>
    <dataValidation type="list" errorStyle="warning" showInputMessage="1" showErrorMessage="1" error="This is not in our list. You may proceed but will not have the Ops Costs populated" prompt="Pick from the List. Depends on the Category and Subcategory" sqref="E8:E29" xr:uid="{3EEDB533-16F1-4378-AFC8-703AF4C33264}">
      <formula1>DDL(mylist,B8,D8)</formula1>
    </dataValidation>
    <dataValidation type="list" showInputMessage="1" showErrorMessage="1" error="You have to pick from the List" prompt="Pick from the list" sqref="B8:B29" xr:uid="{C21C503F-8F11-4F3B-B2BE-64A1AE0B297B}">
      <formula1>DDL(mylist)</formula1>
    </dataValidation>
  </dataValidations>
  <pageMargins left="0.25" right="0.25" top="0.75" bottom="0.75" header="0.3" footer="0.3"/>
  <pageSetup scale="34" fitToHeight="0" orientation="portrait" r:id="rId1"/>
  <headerFooter>
    <oddHeader>&amp;R&amp;A</oddHeader>
    <oddFooter>&amp;L&amp;"-,Italic"Growing your Business&amp;RPage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ExportToPDF">
                <anchor moveWithCells="1" sizeWithCells="1">
                  <from>
                    <xdr:col>3</xdr:col>
                    <xdr:colOff>0</xdr:colOff>
                    <xdr:row>5</xdr:row>
                    <xdr:rowOff>12700</xdr:rowOff>
                  </from>
                  <to>
                    <xdr:col>3</xdr:col>
                    <xdr:colOff>1955800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ExportAllSheetsToPDF">
                <anchor moveWithCells="1" sizeWithCells="1">
                  <from>
                    <xdr:col>4</xdr:col>
                    <xdr:colOff>381000</xdr:colOff>
                    <xdr:row>5</xdr:row>
                    <xdr:rowOff>12700</xdr:rowOff>
                  </from>
                  <to>
                    <xdr:col>5</xdr:col>
                    <xdr:colOff>831850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ExportAllSheetsToXLSX">
                <anchor moveWithCells="1" sizeWithCells="1">
                  <from>
                    <xdr:col>6</xdr:col>
                    <xdr:colOff>615950</xdr:colOff>
                    <xdr:row>5</xdr:row>
                    <xdr:rowOff>12700</xdr:rowOff>
                  </from>
                  <to>
                    <xdr:col>10</xdr:col>
                    <xdr:colOff>920750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C864846-902A-47DC-85C3-261DF2610CF6}">
          <x14:formula1>
            <xm:f>_xlfn.ANCHORARRAY('Rate_Card'!$K$1)</xm:f>
          </x14:formula1>
          <xm:sqref>F1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756B4-01E2-461F-B80D-98354381F852}">
  <sheetPr codeName="Sheet15">
    <tabColor rgb="FFFFFF00"/>
    <pageSetUpPr fitToPage="1"/>
  </sheetPr>
  <dimension ref="B1:T67"/>
  <sheetViews>
    <sheetView showGridLines="0" topLeftCell="A5" zoomScaleNormal="100" workbookViewId="0">
      <selection activeCell="E10" sqref="E10"/>
    </sheetView>
  </sheetViews>
  <sheetFormatPr defaultColWidth="8.7109375" defaultRowHeight="12.6"/>
  <cols>
    <col min="1" max="1" width="3.140625" style="26" customWidth="1"/>
    <col min="2" max="2" width="15.140625" style="26" customWidth="1"/>
    <col min="3" max="3" width="8.42578125" style="26" customWidth="1"/>
    <col min="4" max="4" width="32.7109375" style="26" customWidth="1"/>
    <col min="5" max="5" width="30.140625" style="1" customWidth="1"/>
    <col min="6" max="6" width="13.140625" style="1" customWidth="1"/>
    <col min="7" max="7" width="12.85546875" style="1" customWidth="1"/>
    <col min="8" max="8" width="11.7109375" style="26" customWidth="1"/>
    <col min="9" max="9" width="8.7109375" style="26"/>
    <col min="10" max="10" width="8.5703125" style="26" customWidth="1"/>
    <col min="11" max="11" width="13.5703125" style="26" customWidth="1"/>
    <col min="12" max="12" width="14.140625" style="26" customWidth="1"/>
    <col min="13" max="13" width="12.140625" style="26" customWidth="1"/>
    <col min="14" max="14" width="10.85546875" style="26" bestFit="1" customWidth="1"/>
    <col min="15" max="15" width="10.85546875" style="26" customWidth="1"/>
    <col min="16" max="16" width="31.42578125" style="26" customWidth="1"/>
    <col min="17" max="17" width="8.7109375" style="26"/>
    <col min="18" max="19" width="11" style="26" customWidth="1"/>
    <col min="20" max="20" width="28.5703125" style="26" customWidth="1"/>
    <col min="21" max="16384" width="8.7109375" style="26"/>
  </cols>
  <sheetData>
    <row r="1" spans="2:20" ht="12.95" thickBot="1">
      <c r="E1" s="35" t="s">
        <v>827</v>
      </c>
      <c r="F1" s="36" t="s">
        <v>824</v>
      </c>
    </row>
    <row r="2" spans="2:20" ht="21.6" customHeight="1">
      <c r="B2" s="176"/>
      <c r="C2" s="170" t="s">
        <v>828</v>
      </c>
      <c r="D2" s="171"/>
      <c r="E2" s="17" t="s">
        <v>829</v>
      </c>
      <c r="F2" s="105"/>
      <c r="G2" s="106"/>
      <c r="H2" s="106"/>
      <c r="I2" s="106"/>
      <c r="J2" s="106"/>
      <c r="K2" s="113"/>
      <c r="M2" s="37" t="s">
        <v>830</v>
      </c>
      <c r="N2" s="155" t="s">
        <v>831</v>
      </c>
      <c r="O2" s="156"/>
      <c r="P2" s="156"/>
      <c r="Q2" s="156"/>
      <c r="R2" s="157"/>
    </row>
    <row r="3" spans="2:20" ht="21.6" customHeight="1">
      <c r="B3" s="177"/>
      <c r="C3" s="172" t="s">
        <v>832</v>
      </c>
      <c r="D3" s="173"/>
      <c r="E3" s="18" t="s">
        <v>833</v>
      </c>
      <c r="F3" s="107"/>
      <c r="G3" s="108"/>
      <c r="H3" s="108"/>
      <c r="I3" s="108"/>
      <c r="J3" s="108"/>
      <c r="K3" s="114"/>
      <c r="M3" s="38" t="s">
        <v>835</v>
      </c>
      <c r="N3" s="158" t="s">
        <v>836</v>
      </c>
      <c r="O3" s="159"/>
      <c r="P3" s="159"/>
      <c r="Q3" s="159"/>
      <c r="R3" s="160"/>
    </row>
    <row r="4" spans="2:20" ht="21.6" customHeight="1">
      <c r="B4" s="177"/>
      <c r="C4" s="172" t="s">
        <v>837</v>
      </c>
      <c r="D4" s="173"/>
      <c r="E4" s="18" t="s">
        <v>838</v>
      </c>
      <c r="F4" s="109"/>
      <c r="G4" s="110"/>
      <c r="H4" s="110"/>
      <c r="I4" s="110"/>
      <c r="J4" s="110"/>
      <c r="K4" s="115"/>
      <c r="M4" s="38" t="s">
        <v>840</v>
      </c>
      <c r="N4" s="161">
        <v>45929</v>
      </c>
      <c r="O4" s="162"/>
      <c r="P4" s="162"/>
      <c r="Q4" s="162"/>
      <c r="R4" s="163"/>
    </row>
    <row r="5" spans="2:20" ht="21.6" customHeight="1" thickBot="1">
      <c r="B5" s="178"/>
      <c r="C5" s="174" t="s">
        <v>841</v>
      </c>
      <c r="D5" s="175"/>
      <c r="E5" s="19" t="s">
        <v>842</v>
      </c>
      <c r="F5" s="111"/>
      <c r="G5" s="112"/>
      <c r="H5" s="112"/>
      <c r="I5" s="112"/>
      <c r="J5" s="112"/>
      <c r="K5" s="116"/>
      <c r="M5" s="39" t="s">
        <v>844</v>
      </c>
      <c r="N5" s="164">
        <v>45931</v>
      </c>
      <c r="O5" s="165"/>
      <c r="P5" s="165"/>
      <c r="Q5" s="165"/>
      <c r="R5" s="166"/>
    </row>
    <row r="6" spans="2:20" ht="16.5" customHeight="1">
      <c r="C6" s="41"/>
      <c r="D6" s="101"/>
      <c r="E6" s="26"/>
      <c r="F6" s="42"/>
      <c r="G6" s="43"/>
      <c r="H6" s="44"/>
      <c r="I6" s="44"/>
      <c r="J6" s="1"/>
      <c r="K6" s="40"/>
      <c r="L6" s="167" t="s">
        <v>845</v>
      </c>
      <c r="M6" s="168"/>
      <c r="N6" s="168"/>
      <c r="O6" s="168"/>
      <c r="P6" s="169"/>
      <c r="Q6" s="146" t="s">
        <v>846</v>
      </c>
      <c r="R6" s="147"/>
      <c r="S6" s="147"/>
      <c r="T6" s="148"/>
    </row>
    <row r="7" spans="2:20" s="27" customFormat="1" ht="37.5">
      <c r="B7" s="45" t="s">
        <v>0</v>
      </c>
      <c r="C7" s="46" t="s">
        <v>847</v>
      </c>
      <c r="D7" s="45" t="s">
        <v>848</v>
      </c>
      <c r="E7" s="45" t="s">
        <v>849</v>
      </c>
      <c r="F7" s="2" t="s">
        <v>850</v>
      </c>
      <c r="G7" s="2" t="s">
        <v>851</v>
      </c>
      <c r="H7" s="47" t="s">
        <v>852</v>
      </c>
      <c r="I7" s="48" t="s">
        <v>853</v>
      </c>
      <c r="J7" s="48" t="s">
        <v>854</v>
      </c>
      <c r="K7" s="49" t="s">
        <v>855</v>
      </c>
      <c r="L7" s="104" t="s">
        <v>856</v>
      </c>
      <c r="M7" s="50" t="s">
        <v>857</v>
      </c>
      <c r="N7" s="51" t="s">
        <v>858</v>
      </c>
      <c r="O7" s="52" t="s">
        <v>859</v>
      </c>
      <c r="P7" s="53" t="s">
        <v>860</v>
      </c>
      <c r="Q7" s="54" t="s">
        <v>861</v>
      </c>
      <c r="R7" s="55" t="s">
        <v>862</v>
      </c>
      <c r="S7" s="56" t="s">
        <v>863</v>
      </c>
      <c r="T7" s="57" t="s">
        <v>864</v>
      </c>
    </row>
    <row r="8" spans="2:20">
      <c r="B8" s="58" t="s">
        <v>639</v>
      </c>
      <c r="C8" s="59" t="str" cm="1">
        <f t="array" ref="C8">IF(MT[[#This Row],[Category]]="Fabrication",_xlfn.XLOOKUP(MT[[#This Row],[Category]]&amp;MT[[#This Row],[Subcategory]],Rate_Card[Category]&amp;Rate_Card[Description],Rate_Card[item ref no.],""),_xlfn.XLOOKUP(MT[[#This Row],[Category]]&amp;MT[[#This Row],[Subcategory]]&amp;MT[[#This Row],[Items Detailed Description]],Rate_Card[Category]&amp;Rate_Card[Description]&amp;Rate_Card[Additional Details],Rate_Card[item ref no.],""))</f>
        <v>4wa.37</v>
      </c>
      <c r="D8" s="58" t="s">
        <v>768</v>
      </c>
      <c r="E8" s="60" t="s">
        <v>769</v>
      </c>
      <c r="F8" s="20" cm="1">
        <f t="array" ref="F8">IF(MT[[#This Row],[Category]]="Fabrication",_xlfn.XLOOKUP($F$1&amp;MT[[#This Row],[Category]]&amp;MT[[#This Row],[Subcategory]],Rate_Card[Pricelist]&amp;Rate_Card[Category]&amp;Rate_Card[Description],Rate_Card[Ops - Brisk_Cost],""),_xlfn.XLOOKUP($F$1&amp;MT[[#This Row],[Category]]&amp;MT[[#This Row],[Subcategory]]&amp;MT[[#This Row],[Items Detailed Description]],Rate_Card[Pricelist]&amp;Rate_Card[Category]&amp;Rate_Card[Description]&amp;Rate_Card[Additional Details],Rate_Card[Ops - Brisk_Cost],""))</f>
        <v>0</v>
      </c>
      <c r="G8" s="20" cm="1">
        <f t="array" ref="G8">IF(MT[[#This Row],[Category]]="Fabrication",_xlfn.XLOOKUP($F$1&amp;MT[[#This Row],[Category]]&amp;MT[[#This Row],[Subcategory]],Rate_Card[Pricelist]&amp;Rate_Card[Category]&amp;Rate_Card[Description],Rate_Card[Client Cost],""),_xlfn.XLOOKUP($F$1&amp;MT[[#This Row],[Category]]&amp;MT[[#This Row],[Subcategory]]&amp;MT[[#This Row],[Items Detailed Description]],Rate_Card[Pricelist]&amp;Rate_Card[Category]&amp;Rate_Card[Description]&amp;Rate_Card[Additional Details],Rate_Card[Client Cost],""))</f>
        <v>50000</v>
      </c>
      <c r="H8" s="61">
        <f>MT[[#This Row],[Rate_Card (Kshs)]]</f>
        <v>50000</v>
      </c>
      <c r="I8" s="62"/>
      <c r="J8" s="62"/>
      <c r="K8" s="22">
        <f>IFERROR(MT[[#This Row],[Client_Rate]]*(IF(MT[[#This Row],[Qty]]=0,1,MT[[#This Row],[Qty]]))*(IF(MT[[#This Row],[Duration]]=0,1,MT[[#This Row],[Duration]])),"")</f>
        <v>50000</v>
      </c>
      <c r="L8" s="63">
        <f>IFERROR(MT[[#This Row],[Ops_Cost]]*(IF(MT[[#This Row],[Qty]]=0,1,MT[[#This Row],[Qty]]))*(IF(MT[[#This Row],[Duration]]=0,1,MT[[#This Row],[Duration]])),"")</f>
        <v>0</v>
      </c>
      <c r="M8" s="64">
        <f>IFERROR(MT[[#This Row],[Client_Rate]]-MT[[#This Row],[Rate_Card (Kshs)]],"")</f>
        <v>0</v>
      </c>
      <c r="N8" s="65">
        <f>IFERROR(MT[[#This Row],[Total Cost]]-MT[[#This Row],[Total Ops Cost KE]],"")</f>
        <v>50000</v>
      </c>
      <c r="O8" s="14">
        <f>IFERROR(MT[[#This Row],[Sales Margin (val)]]/MT[[#This Row],[Total Cost]],"")</f>
        <v>1</v>
      </c>
      <c r="P8" s="66"/>
      <c r="Q8" s="67" t="b">
        <v>1</v>
      </c>
      <c r="R8" s="68"/>
      <c r="S8" s="6">
        <f>IF(MT[[#This Row],[Approval]],MT[[#This Row],[Total Cost]],MT[[#This Row],[MD Proposed Cost]])</f>
        <v>50000</v>
      </c>
      <c r="T8" s="69"/>
    </row>
    <row r="9" spans="2:20" ht="24.95">
      <c r="B9" s="70" t="s">
        <v>639</v>
      </c>
      <c r="C9" s="71" t="str" cm="1">
        <f t="array" ref="C9">IF(MT[[#This Row],[Category]]="Fabrication",_xlfn.XLOOKUP(MT[[#This Row],[Category]]&amp;MT[[#This Row],[Subcategory]],Rate_Card[Category]&amp;Rate_Card[Description],Rate_Card[item ref no.],""),_xlfn.XLOOKUP(MT[[#This Row],[Category]]&amp;MT[[#This Row],[Subcategory]]&amp;MT[[#This Row],[Items Detailed Description]],Rate_Card[Category]&amp;Rate_Card[Description]&amp;Rate_Card[Additional Details],Rate_Card[item ref no.],""))</f>
        <v>4wa.17</v>
      </c>
      <c r="D9" s="70" t="s">
        <v>701</v>
      </c>
      <c r="E9" s="72" t="s">
        <v>702</v>
      </c>
      <c r="F9" s="23" cm="1">
        <f t="array" ref="F9">IF(MT[[#This Row],[Category]]="Fabrication",_xlfn.XLOOKUP($F$1&amp;MT[[#This Row],[Category]]&amp;MT[[#This Row],[Subcategory]],Rate_Card[Pricelist]&amp;Rate_Card[Category]&amp;Rate_Card[Description],Rate_Card[Ops - Brisk_Cost],""),_xlfn.XLOOKUP($F$1&amp;MT[[#This Row],[Category]]&amp;MT[[#This Row],[Subcategory]]&amp;MT[[#This Row],[Items Detailed Description]],Rate_Card[Pricelist]&amp;Rate_Card[Category]&amp;Rate_Card[Description]&amp;Rate_Card[Additional Details],Rate_Card[Ops - Brisk_Cost],""))</f>
        <v>200</v>
      </c>
      <c r="G9" s="23" cm="1">
        <f t="array" ref="G9">IF(MT[[#This Row],[Category]]="Fabrication",_xlfn.XLOOKUP($F$1&amp;MT[[#This Row],[Category]]&amp;MT[[#This Row],[Subcategory]],Rate_Card[Pricelist]&amp;Rate_Card[Category]&amp;Rate_Card[Description],Rate_Card[Client Cost],""),_xlfn.XLOOKUP($F$1&amp;MT[[#This Row],[Category]]&amp;MT[[#This Row],[Subcategory]]&amp;MT[[#This Row],[Items Detailed Description]],Rate_Card[Pricelist]&amp;Rate_Card[Category]&amp;Rate_Card[Description]&amp;Rate_Card[Additional Details],Rate_Card[Client Cost],""))</f>
        <v>300</v>
      </c>
      <c r="H9" s="73">
        <f>MT[[#This Row],[Rate_Card (Kshs)]]</f>
        <v>300</v>
      </c>
      <c r="I9" s="74"/>
      <c r="J9" s="74"/>
      <c r="K9" s="102">
        <f>IFERROR(MT[[#This Row],[Client_Rate]]*(IF(MT[[#This Row],[Qty]]=0,1,MT[[#This Row],[Qty]]))*(IF(MT[[#This Row],[Duration]]=0,1,MT[[#This Row],[Duration]])),"")</f>
        <v>300</v>
      </c>
      <c r="L9" s="75">
        <f>IFERROR(MT[[#This Row],[Ops_Cost]]*(IF(MT[[#This Row],[Qty]]=0,1,MT[[#This Row],[Qty]]))*(IF(MT[[#This Row],[Duration]]=0,1,MT[[#This Row],[Duration]])),"")</f>
        <v>200</v>
      </c>
      <c r="M9" s="76">
        <f>IFERROR(MT[[#This Row],[Client_Rate]]-MT[[#This Row],[Rate_Card (Kshs)]],"")</f>
        <v>0</v>
      </c>
      <c r="N9" s="77">
        <f>IFERROR(MT[[#This Row],[Total Cost]]-MT[[#This Row],[Total Ops Cost KE]],"")</f>
        <v>100</v>
      </c>
      <c r="O9" s="24">
        <f>IFERROR(MT[[#This Row],[Sales Margin (val)]]/MT[[#This Row],[Total Cost]],"")</f>
        <v>0.33333333333333331</v>
      </c>
      <c r="P9" s="78"/>
      <c r="Q9" s="79" t="b">
        <v>0</v>
      </c>
      <c r="R9" s="80"/>
      <c r="S9" s="25">
        <f>IF(MT[[#This Row],[Approval]],MT[[#This Row],[Total Cost]],MT[[#This Row],[MD Proposed Cost]])</f>
        <v>0</v>
      </c>
      <c r="T9" s="81"/>
    </row>
    <row r="10" spans="2:20" ht="24.95">
      <c r="B10" s="70" t="s">
        <v>639</v>
      </c>
      <c r="C10" s="71" t="str" cm="1">
        <f t="array" ref="C10">IF(MT[[#This Row],[Category]]="Fabrication",_xlfn.XLOOKUP(MT[[#This Row],[Category]]&amp;MT[[#This Row],[Subcategory]],Rate_Card[Category]&amp;Rate_Card[Description],Rate_Card[item ref no.],""),_xlfn.XLOOKUP(MT[[#This Row],[Category]]&amp;MT[[#This Row],[Subcategory]]&amp;MT[[#This Row],[Items Detailed Description]],Rate_Card[Category]&amp;Rate_Card[Description]&amp;Rate_Card[Additional Details],Rate_Card[item ref no.],""))</f>
        <v>4wa.39</v>
      </c>
      <c r="D10" s="70" t="s">
        <v>773</v>
      </c>
      <c r="E10" s="72"/>
      <c r="F10" s="23" cm="1">
        <f t="array" ref="F10">IF(MT[[#This Row],[Category]]="Fabrication",_xlfn.XLOOKUP($F$1&amp;MT[[#This Row],[Category]]&amp;MT[[#This Row],[Subcategory]],Rate_Card[Pricelist]&amp;Rate_Card[Category]&amp;Rate_Card[Description],Rate_Card[Ops - Brisk_Cost],""),_xlfn.XLOOKUP($F$1&amp;MT[[#This Row],[Category]]&amp;MT[[#This Row],[Subcategory]]&amp;MT[[#This Row],[Items Detailed Description]],Rate_Card[Pricelist]&amp;Rate_Card[Category]&amp;Rate_Card[Description]&amp;Rate_Card[Additional Details],Rate_Card[Ops - Brisk_Cost],""))</f>
        <v>0</v>
      </c>
      <c r="G10" s="23" cm="1">
        <f t="array" ref="G10">IF(MT[[#This Row],[Category]]="Fabrication",_xlfn.XLOOKUP($F$1&amp;MT[[#This Row],[Category]]&amp;MT[[#This Row],[Subcategory]],Rate_Card[Pricelist]&amp;Rate_Card[Category]&amp;Rate_Card[Description],Rate_Card[Client Cost],""),_xlfn.XLOOKUP($F$1&amp;MT[[#This Row],[Category]]&amp;MT[[#This Row],[Subcategory]]&amp;MT[[#This Row],[Items Detailed Description]],Rate_Card[Pricelist]&amp;Rate_Card[Category]&amp;Rate_Card[Description]&amp;Rate_Card[Additional Details],Rate_Card[Client Cost],""))</f>
        <v>700</v>
      </c>
      <c r="H10" s="73">
        <f>MT[[#This Row],[Rate_Card (Kshs)]]</f>
        <v>700</v>
      </c>
      <c r="I10" s="74"/>
      <c r="J10" s="74"/>
      <c r="K10" s="102">
        <f>IFERROR(MT[[#This Row],[Client_Rate]]*(IF(MT[[#This Row],[Qty]]=0,1,MT[[#This Row],[Qty]]))*(IF(MT[[#This Row],[Duration]]=0,1,MT[[#This Row],[Duration]])),"")</f>
        <v>700</v>
      </c>
      <c r="L10" s="75">
        <f>IFERROR(MT[[#This Row],[Ops_Cost]]*(IF(MT[[#This Row],[Qty]]=0,1,MT[[#This Row],[Qty]]))*(IF(MT[[#This Row],[Duration]]=0,1,MT[[#This Row],[Duration]])),"")</f>
        <v>0</v>
      </c>
      <c r="M10" s="76">
        <f>IFERROR(MT[[#This Row],[Client_Rate]]-MT[[#This Row],[Rate_Card (Kshs)]],"")</f>
        <v>0</v>
      </c>
      <c r="N10" s="77">
        <f>IFERROR(MT[[#This Row],[Total Cost]]-MT[[#This Row],[Total Ops Cost KE]],"")</f>
        <v>700</v>
      </c>
      <c r="O10" s="24">
        <f>IFERROR(MT[[#This Row],[Sales Margin (val)]]/MT[[#This Row],[Total Cost]],"")</f>
        <v>1</v>
      </c>
      <c r="P10" s="78"/>
      <c r="Q10" s="79" t="b">
        <v>0</v>
      </c>
      <c r="R10" s="80"/>
      <c r="S10" s="25">
        <f>IF(MT[[#This Row],[Approval]],MT[[#This Row],[Total Cost]],MT[[#This Row],[MD Proposed Cost]])</f>
        <v>0</v>
      </c>
      <c r="T10" s="81"/>
    </row>
    <row r="11" spans="2:20" ht="24.95">
      <c r="B11" s="70" t="s">
        <v>639</v>
      </c>
      <c r="C11" s="71" t="str" cm="1">
        <f t="array" ref="C11">IF(MT[[#This Row],[Category]]="Fabrication",_xlfn.XLOOKUP(MT[[#This Row],[Category]]&amp;MT[[#This Row],[Subcategory]],Rate_Card[Category]&amp;Rate_Card[Description],Rate_Card[item ref no.],""),_xlfn.XLOOKUP(MT[[#This Row],[Category]]&amp;MT[[#This Row],[Subcategory]]&amp;MT[[#This Row],[Items Detailed Description]],Rate_Card[Category]&amp;Rate_Card[Description]&amp;Rate_Card[Additional Details],Rate_Card[item ref no.],""))</f>
        <v>4wa.53</v>
      </c>
      <c r="D11" s="70" t="s">
        <v>713</v>
      </c>
      <c r="E11" s="72" t="s">
        <v>714</v>
      </c>
      <c r="F11" s="23" cm="1">
        <f t="array" ref="F11">IF(MT[[#This Row],[Category]]="Fabrication",_xlfn.XLOOKUP($F$1&amp;MT[[#This Row],[Category]]&amp;MT[[#This Row],[Subcategory]],Rate_Card[Pricelist]&amp;Rate_Card[Category]&amp;Rate_Card[Description],Rate_Card[Ops - Brisk_Cost],""),_xlfn.XLOOKUP($F$1&amp;MT[[#This Row],[Category]]&amp;MT[[#This Row],[Subcategory]]&amp;MT[[#This Row],[Items Detailed Description]],Rate_Card[Pricelist]&amp;Rate_Card[Category]&amp;Rate_Card[Description]&amp;Rate_Card[Additional Details],Rate_Card[Ops - Brisk_Cost],""))</f>
        <v>2000</v>
      </c>
      <c r="G11" s="23" cm="1">
        <f t="array" ref="G11">IF(MT[[#This Row],[Category]]="Fabrication",_xlfn.XLOOKUP($F$1&amp;MT[[#This Row],[Category]]&amp;MT[[#This Row],[Subcategory]],Rate_Card[Pricelist]&amp;Rate_Card[Category]&amp;Rate_Card[Description],Rate_Card[Client Cost],""),_xlfn.XLOOKUP($F$1&amp;MT[[#This Row],[Category]]&amp;MT[[#This Row],[Subcategory]]&amp;MT[[#This Row],[Items Detailed Description]],Rate_Card[Pricelist]&amp;Rate_Card[Category]&amp;Rate_Card[Description]&amp;Rate_Card[Additional Details],Rate_Card[Client Cost],""))</f>
        <v>2500</v>
      </c>
      <c r="H11" s="73">
        <f>MT[[#This Row],[Rate_Card (Kshs)]]</f>
        <v>2500</v>
      </c>
      <c r="I11" s="74"/>
      <c r="J11" s="74"/>
      <c r="K11" s="102">
        <f>IFERROR(MT[[#This Row],[Client_Rate]]*(IF(MT[[#This Row],[Qty]]=0,1,MT[[#This Row],[Qty]]))*(IF(MT[[#This Row],[Duration]]=0,1,MT[[#This Row],[Duration]])),"")</f>
        <v>2500</v>
      </c>
      <c r="L11" s="75">
        <f>IFERROR(MT[[#This Row],[Ops_Cost]]*(IF(MT[[#This Row],[Qty]]=0,1,MT[[#This Row],[Qty]]))*(IF(MT[[#This Row],[Duration]]=0,1,MT[[#This Row],[Duration]])),"")</f>
        <v>2000</v>
      </c>
      <c r="M11" s="76">
        <f>IFERROR(MT[[#This Row],[Client_Rate]]-MT[[#This Row],[Rate_Card (Kshs)]],"")</f>
        <v>0</v>
      </c>
      <c r="N11" s="77">
        <f>IFERROR(MT[[#This Row],[Total Cost]]-MT[[#This Row],[Total Ops Cost KE]],"")</f>
        <v>500</v>
      </c>
      <c r="O11" s="24">
        <f>IFERROR(MT[[#This Row],[Sales Margin (val)]]/MT[[#This Row],[Total Cost]],"")</f>
        <v>0.2</v>
      </c>
      <c r="P11" s="78"/>
      <c r="Q11" s="79" t="b">
        <v>0</v>
      </c>
      <c r="R11" s="80"/>
      <c r="S11" s="25">
        <f>IF(MT[[#This Row],[Approval]],MT[[#This Row],[Total Cost]],MT[[#This Row],[MD Proposed Cost]])</f>
        <v>0</v>
      </c>
      <c r="T11" s="81"/>
    </row>
    <row r="12" spans="2:20" ht="24.95">
      <c r="B12" s="70" t="s">
        <v>639</v>
      </c>
      <c r="C12" s="71" t="str" cm="1">
        <f t="array" ref="C12">IF(MT[[#This Row],[Category]]="Fabrication",_xlfn.XLOOKUP(MT[[#This Row],[Category]]&amp;MT[[#This Row],[Subcategory]],Rate_Card[Category]&amp;Rate_Card[Description],Rate_Card[item ref no.],""),_xlfn.XLOOKUP(MT[[#This Row],[Category]]&amp;MT[[#This Row],[Subcategory]]&amp;MT[[#This Row],[Items Detailed Description]],Rate_Card[Category]&amp;Rate_Card[Description]&amp;Rate_Card[Additional Details],Rate_Card[item ref no.],""))</f>
        <v>4wa.41</v>
      </c>
      <c r="D12" s="70" t="s">
        <v>777</v>
      </c>
      <c r="E12" s="72" t="s">
        <v>778</v>
      </c>
      <c r="F12" s="23" cm="1">
        <f t="array" ref="F12">IF(MT[[#This Row],[Category]]="Fabrication",_xlfn.XLOOKUP($F$1&amp;MT[[#This Row],[Category]]&amp;MT[[#This Row],[Subcategory]],Rate_Card[Pricelist]&amp;Rate_Card[Category]&amp;Rate_Card[Description],Rate_Card[Ops - Brisk_Cost],""),_xlfn.XLOOKUP($F$1&amp;MT[[#This Row],[Category]]&amp;MT[[#This Row],[Subcategory]]&amp;MT[[#This Row],[Items Detailed Description]],Rate_Card[Pricelist]&amp;Rate_Card[Category]&amp;Rate_Card[Description]&amp;Rate_Card[Additional Details],Rate_Card[Ops - Brisk_Cost],""))</f>
        <v>300</v>
      </c>
      <c r="G12" s="23" cm="1">
        <f t="array" ref="G12">IF(MT[[#This Row],[Category]]="Fabrication",_xlfn.XLOOKUP($F$1&amp;MT[[#This Row],[Category]]&amp;MT[[#This Row],[Subcategory]],Rate_Card[Pricelist]&amp;Rate_Card[Category]&amp;Rate_Card[Description],Rate_Card[Client Cost],""),_xlfn.XLOOKUP($F$1&amp;MT[[#This Row],[Category]]&amp;MT[[#This Row],[Subcategory]]&amp;MT[[#This Row],[Items Detailed Description]],Rate_Card[Pricelist]&amp;Rate_Card[Category]&amp;Rate_Card[Description]&amp;Rate_Card[Additional Details],Rate_Card[Client Cost],""))</f>
        <v>500</v>
      </c>
      <c r="H12" s="73">
        <f>MT[[#This Row],[Rate_Card (Kshs)]]</f>
        <v>500</v>
      </c>
      <c r="I12" s="74"/>
      <c r="J12" s="74"/>
      <c r="K12" s="102">
        <f>IFERROR(MT[[#This Row],[Client_Rate]]*(IF(MT[[#This Row],[Qty]]=0,1,MT[[#This Row],[Qty]]))*(IF(MT[[#This Row],[Duration]]=0,1,MT[[#This Row],[Duration]])),"")</f>
        <v>500</v>
      </c>
      <c r="L12" s="75">
        <f>IFERROR(MT[[#This Row],[Ops_Cost]]*(IF(MT[[#This Row],[Qty]]=0,1,MT[[#This Row],[Qty]]))*(IF(MT[[#This Row],[Duration]]=0,1,MT[[#This Row],[Duration]])),"")</f>
        <v>300</v>
      </c>
      <c r="M12" s="76">
        <f>IFERROR(MT[[#This Row],[Client_Rate]]-MT[[#This Row],[Rate_Card (Kshs)]],"")</f>
        <v>0</v>
      </c>
      <c r="N12" s="77">
        <f>IFERROR(MT[[#This Row],[Total Cost]]-MT[[#This Row],[Total Ops Cost KE]],"")</f>
        <v>200</v>
      </c>
      <c r="O12" s="24">
        <f>IFERROR(MT[[#This Row],[Sales Margin (val)]]/MT[[#This Row],[Total Cost]],"")</f>
        <v>0.4</v>
      </c>
      <c r="P12" s="78"/>
      <c r="Q12" s="79" t="b">
        <v>0</v>
      </c>
      <c r="R12" s="80"/>
      <c r="S12" s="25">
        <f>IF(MT[[#This Row],[Approval]],MT[[#This Row],[Total Cost]],MT[[#This Row],[MD Proposed Cost]])</f>
        <v>0</v>
      </c>
      <c r="T12" s="81"/>
    </row>
    <row r="13" spans="2:20" ht="24.95">
      <c r="B13" s="70" t="s">
        <v>639</v>
      </c>
      <c r="C13" s="71" t="str" cm="1">
        <f t="array" ref="C13">IF(MT[[#This Row],[Category]]="Fabrication",_xlfn.XLOOKUP(MT[[#This Row],[Category]]&amp;MT[[#This Row],[Subcategory]],Rate_Card[Category]&amp;Rate_Card[Description],Rate_Card[item ref no.],""),_xlfn.XLOOKUP(MT[[#This Row],[Category]]&amp;MT[[#This Row],[Subcategory]]&amp;MT[[#This Row],[Items Detailed Description]],Rate_Card[Category]&amp;Rate_Card[Description]&amp;Rate_Card[Additional Details],Rate_Card[item ref no.],""))</f>
        <v>4wa.19</v>
      </c>
      <c r="D13" s="70" t="s">
        <v>707</v>
      </c>
      <c r="E13" s="72" t="s">
        <v>708</v>
      </c>
      <c r="F13" s="23" cm="1">
        <f t="array" ref="F13">IF(MT[[#This Row],[Category]]="Fabrication",_xlfn.XLOOKUP($F$1&amp;MT[[#This Row],[Category]]&amp;MT[[#This Row],[Subcategory]],Rate_Card[Pricelist]&amp;Rate_Card[Category]&amp;Rate_Card[Description],Rate_Card[Ops - Brisk_Cost],""),_xlfn.XLOOKUP($F$1&amp;MT[[#This Row],[Category]]&amp;MT[[#This Row],[Subcategory]]&amp;MT[[#This Row],[Items Detailed Description]],Rate_Card[Pricelist]&amp;Rate_Card[Category]&amp;Rate_Card[Description]&amp;Rate_Card[Additional Details],Rate_Card[Ops - Brisk_Cost],""))</f>
        <v>100</v>
      </c>
      <c r="G13" s="23" cm="1">
        <f t="array" ref="G13">IF(MT[[#This Row],[Category]]="Fabrication",_xlfn.XLOOKUP($F$1&amp;MT[[#This Row],[Category]]&amp;MT[[#This Row],[Subcategory]],Rate_Card[Pricelist]&amp;Rate_Card[Category]&amp;Rate_Card[Description],Rate_Card[Client Cost],""),_xlfn.XLOOKUP($F$1&amp;MT[[#This Row],[Category]]&amp;MT[[#This Row],[Subcategory]]&amp;MT[[#This Row],[Items Detailed Description]],Rate_Card[Pricelist]&amp;Rate_Card[Category]&amp;Rate_Card[Description]&amp;Rate_Card[Additional Details],Rate_Card[Client Cost],""))</f>
        <v>200</v>
      </c>
      <c r="H13" s="73">
        <f>MT[[#This Row],[Rate_Card (Kshs)]]</f>
        <v>200</v>
      </c>
      <c r="I13" s="74"/>
      <c r="J13" s="74"/>
      <c r="K13" s="102">
        <f>IFERROR(MT[[#This Row],[Client_Rate]]*(IF(MT[[#This Row],[Qty]]=0,1,MT[[#This Row],[Qty]]))*(IF(MT[[#This Row],[Duration]]=0,1,MT[[#This Row],[Duration]])),"")</f>
        <v>200</v>
      </c>
      <c r="L13" s="75">
        <f>IFERROR(MT[[#This Row],[Ops_Cost]]*(IF(MT[[#This Row],[Qty]]=0,1,MT[[#This Row],[Qty]]))*(IF(MT[[#This Row],[Duration]]=0,1,MT[[#This Row],[Duration]])),"")</f>
        <v>100</v>
      </c>
      <c r="M13" s="76">
        <f>IFERROR(MT[[#This Row],[Client_Rate]]-MT[[#This Row],[Rate_Card (Kshs)]],"")</f>
        <v>0</v>
      </c>
      <c r="N13" s="77">
        <f>IFERROR(MT[[#This Row],[Total Cost]]-MT[[#This Row],[Total Ops Cost KE]],"")</f>
        <v>100</v>
      </c>
      <c r="O13" s="24">
        <f>IFERROR(MT[[#This Row],[Sales Margin (val)]]/MT[[#This Row],[Total Cost]],"")</f>
        <v>0.5</v>
      </c>
      <c r="P13" s="78"/>
      <c r="Q13" s="79" t="b">
        <v>0</v>
      </c>
      <c r="R13" s="80"/>
      <c r="S13" s="25">
        <f>IF(MT[[#This Row],[Approval]],MT[[#This Row],[Total Cost]],MT[[#This Row],[MD Proposed Cost]])</f>
        <v>0</v>
      </c>
      <c r="T13" s="81"/>
    </row>
    <row r="14" spans="2:20" ht="37.5">
      <c r="B14" s="70" t="s">
        <v>639</v>
      </c>
      <c r="C14" s="71" t="str" cm="1">
        <f t="array" ref="C14">IF(MT[[#This Row],[Category]]="Fabrication",_xlfn.XLOOKUP(MT[[#This Row],[Category]]&amp;MT[[#This Row],[Subcategory]],Rate_Card[Category]&amp;Rate_Card[Description],Rate_Card[item ref no.],""),_xlfn.XLOOKUP(MT[[#This Row],[Category]]&amp;MT[[#This Row],[Subcategory]]&amp;MT[[#This Row],[Items Detailed Description]],Rate_Card[Category]&amp;Rate_Card[Description]&amp;Rate_Card[Additional Details],Rate_Card[item ref no.],""))</f>
        <v/>
      </c>
      <c r="D14" s="70"/>
      <c r="E14" s="72" t="s">
        <v>880</v>
      </c>
      <c r="F14" s="23" t="str" cm="1">
        <f t="array" ref="F14">IF(MT[[#This Row],[Category]]="Fabrication",_xlfn.XLOOKUP($F$1&amp;MT[[#This Row],[Category]]&amp;MT[[#This Row],[Subcategory]],Rate_Card[Pricelist]&amp;Rate_Card[Category]&amp;Rate_Card[Description],Rate_Card[Ops - Brisk_Cost],""),_xlfn.XLOOKUP($F$1&amp;MT[[#This Row],[Category]]&amp;MT[[#This Row],[Subcategory]]&amp;MT[[#This Row],[Items Detailed Description]],Rate_Card[Pricelist]&amp;Rate_Card[Category]&amp;Rate_Card[Description]&amp;Rate_Card[Additional Details],Rate_Card[Ops - Brisk_Cost],""))</f>
        <v/>
      </c>
      <c r="G14" s="23" t="str" cm="1">
        <f t="array" ref="G14">IF(MT[[#This Row],[Category]]="Fabrication",_xlfn.XLOOKUP($F$1&amp;MT[[#This Row],[Category]]&amp;MT[[#This Row],[Subcategory]],Rate_Card[Pricelist]&amp;Rate_Card[Category]&amp;Rate_Card[Description],Rate_Card[Client Cost],""),_xlfn.XLOOKUP($F$1&amp;MT[[#This Row],[Category]]&amp;MT[[#This Row],[Subcategory]]&amp;MT[[#This Row],[Items Detailed Description]],Rate_Card[Pricelist]&amp;Rate_Card[Category]&amp;Rate_Card[Description]&amp;Rate_Card[Additional Details],Rate_Card[Client Cost],""))</f>
        <v/>
      </c>
      <c r="H14" s="73" t="str">
        <f>MT[[#This Row],[Rate_Card (Kshs)]]</f>
        <v/>
      </c>
      <c r="I14" s="74"/>
      <c r="J14" s="74"/>
      <c r="K14" s="102" t="str">
        <f>IFERROR(MT[[#This Row],[Client_Rate]]*(IF(MT[[#This Row],[Qty]]=0,1,MT[[#This Row],[Qty]]))*(IF(MT[[#This Row],[Duration]]=0,1,MT[[#This Row],[Duration]])),"")</f>
        <v/>
      </c>
      <c r="L14" s="75" t="str">
        <f>IFERROR(MT[[#This Row],[Ops_Cost]]*(IF(MT[[#This Row],[Qty]]=0,1,MT[[#This Row],[Qty]]))*(IF(MT[[#This Row],[Duration]]=0,1,MT[[#This Row],[Duration]])),"")</f>
        <v/>
      </c>
      <c r="M14" s="76" t="str">
        <f>IFERROR(MT[[#This Row],[Client_Rate]]-MT[[#This Row],[Rate_Card (Kshs)]],"")</f>
        <v/>
      </c>
      <c r="N14" s="77" t="str">
        <f>IFERROR(MT[[#This Row],[Total Cost]]-MT[[#This Row],[Total Ops Cost KE]],"")</f>
        <v/>
      </c>
      <c r="O14" s="24" t="str">
        <f>IFERROR(MT[[#This Row],[Sales Margin (val)]]/MT[[#This Row],[Total Cost]],"")</f>
        <v/>
      </c>
      <c r="P14" s="78"/>
      <c r="Q14" s="79" t="b">
        <v>0</v>
      </c>
      <c r="R14" s="80"/>
      <c r="S14" s="25">
        <f>IF(MT[[#This Row],[Approval]],MT[[#This Row],[Total Cost]],MT[[#This Row],[MD Proposed Cost]])</f>
        <v>0</v>
      </c>
      <c r="T14" s="81"/>
    </row>
    <row r="15" spans="2:20">
      <c r="B15" s="70" t="s">
        <v>639</v>
      </c>
      <c r="C15" s="71" t="str" cm="1">
        <f t="array" ref="C15">IF(MT[[#This Row],[Category]]="Fabrication",_xlfn.XLOOKUP(MT[[#This Row],[Category]]&amp;MT[[#This Row],[Subcategory]],Rate_Card[Category]&amp;Rate_Card[Description],Rate_Card[item ref no.],""),_xlfn.XLOOKUP(MT[[#This Row],[Category]]&amp;MT[[#This Row],[Subcategory]]&amp;MT[[#This Row],[Items Detailed Description]],Rate_Card[Category]&amp;Rate_Card[Description]&amp;Rate_Card[Additional Details],Rate_Card[item ref no.],""))</f>
        <v>4wa.15</v>
      </c>
      <c r="D15" s="70" t="s">
        <v>697</v>
      </c>
      <c r="E15" s="72" t="s">
        <v>692</v>
      </c>
      <c r="F15" s="23" cm="1">
        <f t="array" ref="F15">IF(MT[[#This Row],[Category]]="Fabrication",_xlfn.XLOOKUP($F$1&amp;MT[[#This Row],[Category]]&amp;MT[[#This Row],[Subcategory]],Rate_Card[Pricelist]&amp;Rate_Card[Category]&amp;Rate_Card[Description],Rate_Card[Ops - Brisk_Cost],""),_xlfn.XLOOKUP($F$1&amp;MT[[#This Row],[Category]]&amp;MT[[#This Row],[Subcategory]]&amp;MT[[#This Row],[Items Detailed Description]],Rate_Card[Pricelist]&amp;Rate_Card[Category]&amp;Rate_Card[Description]&amp;Rate_Card[Additional Details],Rate_Card[Ops - Brisk_Cost],""))</f>
        <v>1500</v>
      </c>
      <c r="G15" s="23" cm="1">
        <f t="array" ref="G15">IF(MT[[#This Row],[Category]]="Fabrication",_xlfn.XLOOKUP($F$1&amp;MT[[#This Row],[Category]]&amp;MT[[#This Row],[Subcategory]],Rate_Card[Pricelist]&amp;Rate_Card[Category]&amp;Rate_Card[Description],Rate_Card[Client Cost],""),_xlfn.XLOOKUP($F$1&amp;MT[[#This Row],[Category]]&amp;MT[[#This Row],[Subcategory]]&amp;MT[[#This Row],[Items Detailed Description]],Rate_Card[Pricelist]&amp;Rate_Card[Category]&amp;Rate_Card[Description]&amp;Rate_Card[Additional Details],Rate_Card[Client Cost],""))</f>
        <v>2000</v>
      </c>
      <c r="H15" s="73">
        <f>MT[[#This Row],[Rate_Card (Kshs)]]</f>
        <v>2000</v>
      </c>
      <c r="I15" s="74"/>
      <c r="J15" s="74"/>
      <c r="K15" s="102">
        <f>IFERROR(MT[[#This Row],[Client_Rate]]*(IF(MT[[#This Row],[Qty]]=0,1,MT[[#This Row],[Qty]]))*(IF(MT[[#This Row],[Duration]]=0,1,MT[[#This Row],[Duration]])),"")</f>
        <v>2000</v>
      </c>
      <c r="L15" s="75">
        <f>IFERROR(MT[[#This Row],[Ops_Cost]]*(IF(MT[[#This Row],[Qty]]=0,1,MT[[#This Row],[Qty]]))*(IF(MT[[#This Row],[Duration]]=0,1,MT[[#This Row],[Duration]])),"")</f>
        <v>1500</v>
      </c>
      <c r="M15" s="76">
        <f>IFERROR(MT[[#This Row],[Client_Rate]]-MT[[#This Row],[Rate_Card (Kshs)]],"")</f>
        <v>0</v>
      </c>
      <c r="N15" s="77">
        <f>IFERROR(MT[[#This Row],[Total Cost]]-MT[[#This Row],[Total Ops Cost KE]],"")</f>
        <v>500</v>
      </c>
      <c r="O15" s="24">
        <f>IFERROR(MT[[#This Row],[Sales Margin (val)]]/MT[[#This Row],[Total Cost]],"")</f>
        <v>0.25</v>
      </c>
      <c r="P15" s="78"/>
      <c r="Q15" s="79" t="b">
        <v>0</v>
      </c>
      <c r="R15" s="80"/>
      <c r="S15" s="25">
        <f>IF(MT[[#This Row],[Approval]],MT[[#This Row],[Total Cost]],MT[[#This Row],[MD Proposed Cost]])</f>
        <v>0</v>
      </c>
      <c r="T15" s="81"/>
    </row>
    <row r="16" spans="2:20">
      <c r="B16" s="70" t="s">
        <v>639</v>
      </c>
      <c r="C16" s="71" t="str" cm="1">
        <f t="array" ref="C16">IF(MT[[#This Row],[Category]]="Fabrication",_xlfn.XLOOKUP(MT[[#This Row],[Category]]&amp;MT[[#This Row],[Subcategory]],Rate_Card[Category]&amp;Rate_Card[Description],Rate_Card[item ref no.],""),_xlfn.XLOOKUP(MT[[#This Row],[Category]]&amp;MT[[#This Row],[Subcategory]]&amp;MT[[#This Row],[Items Detailed Description]],Rate_Card[Category]&amp;Rate_Card[Description]&amp;Rate_Card[Additional Details],Rate_Card[item ref no.],""))</f>
        <v>4wa.40</v>
      </c>
      <c r="D16" s="70" t="s">
        <v>775</v>
      </c>
      <c r="E16" s="72"/>
      <c r="F16" s="23" cm="1">
        <f t="array" ref="F16">IF(MT[[#This Row],[Category]]="Fabrication",_xlfn.XLOOKUP($F$1&amp;MT[[#This Row],[Category]]&amp;MT[[#This Row],[Subcategory]],Rate_Card[Pricelist]&amp;Rate_Card[Category]&amp;Rate_Card[Description],Rate_Card[Ops - Brisk_Cost],""),_xlfn.XLOOKUP($F$1&amp;MT[[#This Row],[Category]]&amp;MT[[#This Row],[Subcategory]]&amp;MT[[#This Row],[Items Detailed Description]],Rate_Card[Pricelist]&amp;Rate_Card[Category]&amp;Rate_Card[Description]&amp;Rate_Card[Additional Details],Rate_Card[Ops - Brisk_Cost],""))</f>
        <v>0</v>
      </c>
      <c r="G16" s="23" cm="1">
        <f t="array" ref="G16">IF(MT[[#This Row],[Category]]="Fabrication",_xlfn.XLOOKUP($F$1&amp;MT[[#This Row],[Category]]&amp;MT[[#This Row],[Subcategory]],Rate_Card[Pricelist]&amp;Rate_Card[Category]&amp;Rate_Card[Description],Rate_Card[Client Cost],""),_xlfn.XLOOKUP($F$1&amp;MT[[#This Row],[Category]]&amp;MT[[#This Row],[Subcategory]]&amp;MT[[#This Row],[Items Detailed Description]],Rate_Card[Pricelist]&amp;Rate_Card[Category]&amp;Rate_Card[Description]&amp;Rate_Card[Additional Details],Rate_Card[Client Cost],""))</f>
        <v>300</v>
      </c>
      <c r="H16" s="73">
        <f>MT[[#This Row],[Rate_Card (Kshs)]]</f>
        <v>300</v>
      </c>
      <c r="I16" s="74"/>
      <c r="J16" s="74"/>
      <c r="K16" s="102">
        <f>IFERROR(MT[[#This Row],[Client_Rate]]*(IF(MT[[#This Row],[Qty]]=0,1,MT[[#This Row],[Qty]]))*(IF(MT[[#This Row],[Duration]]=0,1,MT[[#This Row],[Duration]])),"")</f>
        <v>300</v>
      </c>
      <c r="L16" s="75">
        <f>IFERROR(MT[[#This Row],[Ops_Cost]]*(IF(MT[[#This Row],[Qty]]=0,1,MT[[#This Row],[Qty]]))*(IF(MT[[#This Row],[Duration]]=0,1,MT[[#This Row],[Duration]])),"")</f>
        <v>0</v>
      </c>
      <c r="M16" s="76">
        <f>IFERROR(MT[[#This Row],[Client_Rate]]-MT[[#This Row],[Rate_Card (Kshs)]],"")</f>
        <v>0</v>
      </c>
      <c r="N16" s="77">
        <f>IFERROR(MT[[#This Row],[Total Cost]]-MT[[#This Row],[Total Ops Cost KE]],"")</f>
        <v>300</v>
      </c>
      <c r="O16" s="24">
        <f>IFERROR(MT[[#This Row],[Sales Margin (val)]]/MT[[#This Row],[Total Cost]],"")</f>
        <v>1</v>
      </c>
      <c r="P16" s="78"/>
      <c r="Q16" s="79" t="b">
        <v>0</v>
      </c>
      <c r="R16" s="80"/>
      <c r="S16" s="25">
        <f>IF(MT[[#This Row],[Approval]],MT[[#This Row],[Total Cost]],MT[[#This Row],[MD Proposed Cost]])</f>
        <v>0</v>
      </c>
      <c r="T16" s="81"/>
    </row>
    <row r="17" spans="2:20" ht="24.95">
      <c r="B17" s="70" t="s">
        <v>639</v>
      </c>
      <c r="C17" s="71" t="str" cm="1">
        <f t="array" ref="C17">IF(MT[[#This Row],[Category]]="Fabrication",_xlfn.XLOOKUP(MT[[#This Row],[Category]]&amp;MT[[#This Row],[Subcategory]],Rate_Card[Category]&amp;Rate_Card[Description],Rate_Card[item ref no.],""),_xlfn.XLOOKUP(MT[[#This Row],[Category]]&amp;MT[[#This Row],[Subcategory]]&amp;MT[[#This Row],[Items Detailed Description]],Rate_Card[Category]&amp;Rate_Card[Description]&amp;Rate_Card[Additional Details],Rate_Card[item ref no.],""))</f>
        <v>4wa.18</v>
      </c>
      <c r="D17" s="70" t="s">
        <v>704</v>
      </c>
      <c r="E17" s="72" t="s">
        <v>705</v>
      </c>
      <c r="F17" s="23" cm="1">
        <f t="array" ref="F17">IF(MT[[#This Row],[Category]]="Fabrication",_xlfn.XLOOKUP($F$1&amp;MT[[#This Row],[Category]]&amp;MT[[#This Row],[Subcategory]],Rate_Card[Pricelist]&amp;Rate_Card[Category]&amp;Rate_Card[Description],Rate_Card[Ops - Brisk_Cost],""),_xlfn.XLOOKUP($F$1&amp;MT[[#This Row],[Category]]&amp;MT[[#This Row],[Subcategory]]&amp;MT[[#This Row],[Items Detailed Description]],Rate_Card[Pricelist]&amp;Rate_Card[Category]&amp;Rate_Card[Description]&amp;Rate_Card[Additional Details],Rate_Card[Ops - Brisk_Cost],""))</f>
        <v>50</v>
      </c>
      <c r="G17" s="23" cm="1">
        <f t="array" ref="G17">IF(MT[[#This Row],[Category]]="Fabrication",_xlfn.XLOOKUP($F$1&amp;MT[[#This Row],[Category]]&amp;MT[[#This Row],[Subcategory]],Rate_Card[Pricelist]&amp;Rate_Card[Category]&amp;Rate_Card[Description],Rate_Card[Client Cost],""),_xlfn.XLOOKUP($F$1&amp;MT[[#This Row],[Category]]&amp;MT[[#This Row],[Subcategory]]&amp;MT[[#This Row],[Items Detailed Description]],Rate_Card[Pricelist]&amp;Rate_Card[Category]&amp;Rate_Card[Description]&amp;Rate_Card[Additional Details],Rate_Card[Client Cost],""))</f>
        <v>100</v>
      </c>
      <c r="H17" s="73">
        <f>MT[[#This Row],[Rate_Card (Kshs)]]</f>
        <v>100</v>
      </c>
      <c r="I17" s="74"/>
      <c r="J17" s="74"/>
      <c r="K17" s="102">
        <f>IFERROR(MT[[#This Row],[Client_Rate]]*(IF(MT[[#This Row],[Qty]]=0,1,MT[[#This Row],[Qty]]))*(IF(MT[[#This Row],[Duration]]=0,1,MT[[#This Row],[Duration]])),"")</f>
        <v>100</v>
      </c>
      <c r="L17" s="75">
        <f>IFERROR(MT[[#This Row],[Ops_Cost]]*(IF(MT[[#This Row],[Qty]]=0,1,MT[[#This Row],[Qty]]))*(IF(MT[[#This Row],[Duration]]=0,1,MT[[#This Row],[Duration]])),"")</f>
        <v>50</v>
      </c>
      <c r="M17" s="76">
        <f>IFERROR(MT[[#This Row],[Client_Rate]]-MT[[#This Row],[Rate_Card (Kshs)]],"")</f>
        <v>0</v>
      </c>
      <c r="N17" s="77">
        <f>IFERROR(MT[[#This Row],[Total Cost]]-MT[[#This Row],[Total Ops Cost KE]],"")</f>
        <v>50</v>
      </c>
      <c r="O17" s="24">
        <f>IFERROR(MT[[#This Row],[Sales Margin (val)]]/MT[[#This Row],[Total Cost]],"")</f>
        <v>0.5</v>
      </c>
      <c r="P17" s="78"/>
      <c r="Q17" s="79" t="b">
        <v>0</v>
      </c>
      <c r="R17" s="80"/>
      <c r="S17" s="25">
        <f>IF(MT[[#This Row],[Approval]],MT[[#This Row],[Total Cost]],MT[[#This Row],[MD Proposed Cost]])</f>
        <v>0</v>
      </c>
      <c r="T17" s="81"/>
    </row>
    <row r="18" spans="2:20" ht="50.1">
      <c r="B18" s="70" t="s">
        <v>639</v>
      </c>
      <c r="C18" s="71" t="str" cm="1">
        <f t="array" ref="C18">IF(MT[[#This Row],[Category]]="Fabrication",_xlfn.XLOOKUP(MT[[#This Row],[Category]]&amp;MT[[#This Row],[Subcategory]],Rate_Card[Category]&amp;Rate_Card[Description],Rate_Card[item ref no.],""),_xlfn.XLOOKUP(MT[[#This Row],[Category]]&amp;MT[[#This Row],[Subcategory]]&amp;MT[[#This Row],[Items Detailed Description]],Rate_Card[Category]&amp;Rate_Card[Description]&amp;Rate_Card[Additional Details],Rate_Card[item ref no.],""))</f>
        <v/>
      </c>
      <c r="D18" s="70"/>
      <c r="E18" s="72" t="s">
        <v>881</v>
      </c>
      <c r="F18" s="23" t="str" cm="1">
        <f t="array" ref="F18">IF(MT[[#This Row],[Category]]="Fabrication",_xlfn.XLOOKUP($F$1&amp;MT[[#This Row],[Category]]&amp;MT[[#This Row],[Subcategory]],Rate_Card[Pricelist]&amp;Rate_Card[Category]&amp;Rate_Card[Description],Rate_Card[Ops - Brisk_Cost],""),_xlfn.XLOOKUP($F$1&amp;MT[[#This Row],[Category]]&amp;MT[[#This Row],[Subcategory]]&amp;MT[[#This Row],[Items Detailed Description]],Rate_Card[Pricelist]&amp;Rate_Card[Category]&amp;Rate_Card[Description]&amp;Rate_Card[Additional Details],Rate_Card[Ops - Brisk_Cost],""))</f>
        <v/>
      </c>
      <c r="G18" s="23" t="str" cm="1">
        <f t="array" ref="G18">IF(MT[[#This Row],[Category]]="Fabrication",_xlfn.XLOOKUP($F$1&amp;MT[[#This Row],[Category]]&amp;MT[[#This Row],[Subcategory]],Rate_Card[Pricelist]&amp;Rate_Card[Category]&amp;Rate_Card[Description],Rate_Card[Client Cost],""),_xlfn.XLOOKUP($F$1&amp;MT[[#This Row],[Category]]&amp;MT[[#This Row],[Subcategory]]&amp;MT[[#This Row],[Items Detailed Description]],Rate_Card[Pricelist]&amp;Rate_Card[Category]&amp;Rate_Card[Description]&amp;Rate_Card[Additional Details],Rate_Card[Client Cost],""))</f>
        <v/>
      </c>
      <c r="H18" s="73" t="str">
        <f>MT[[#This Row],[Rate_Card (Kshs)]]</f>
        <v/>
      </c>
      <c r="I18" s="74"/>
      <c r="J18" s="74"/>
      <c r="K18" s="102" t="str">
        <f>IFERROR(MT[[#This Row],[Client_Rate]]*(IF(MT[[#This Row],[Qty]]=0,1,MT[[#This Row],[Qty]]))*(IF(MT[[#This Row],[Duration]]=0,1,MT[[#This Row],[Duration]])),"")</f>
        <v/>
      </c>
      <c r="L18" s="75" t="str">
        <f>IFERROR(MT[[#This Row],[Ops_Cost]]*(IF(MT[[#This Row],[Qty]]=0,1,MT[[#This Row],[Qty]]))*(IF(MT[[#This Row],[Duration]]=0,1,MT[[#This Row],[Duration]])),"")</f>
        <v/>
      </c>
      <c r="M18" s="76" t="str">
        <f>IFERROR(MT[[#This Row],[Client_Rate]]-MT[[#This Row],[Rate_Card (Kshs)]],"")</f>
        <v/>
      </c>
      <c r="N18" s="77" t="str">
        <f>IFERROR(MT[[#This Row],[Total Cost]]-MT[[#This Row],[Total Ops Cost KE]],"")</f>
        <v/>
      </c>
      <c r="O18" s="24" t="str">
        <f>IFERROR(MT[[#This Row],[Sales Margin (val)]]/MT[[#This Row],[Total Cost]],"")</f>
        <v/>
      </c>
      <c r="P18" s="78"/>
      <c r="Q18" s="79" t="b">
        <v>0</v>
      </c>
      <c r="R18" s="80"/>
      <c r="S18" s="25">
        <f>IF(MT[[#This Row],[Approval]],MT[[#This Row],[Total Cost]],MT[[#This Row],[MD Proposed Cost]])</f>
        <v>0</v>
      </c>
      <c r="T18" s="81"/>
    </row>
    <row r="19" spans="2:20">
      <c r="B19" s="70" t="s">
        <v>404</v>
      </c>
      <c r="C19" s="71" t="str" cm="1">
        <f t="array" ref="C19">IF(MT[[#This Row],[Category]]="Fabrication",_xlfn.XLOOKUP(MT[[#This Row],[Category]]&amp;MT[[#This Row],[Subcategory]],Rate_Card[Category]&amp;Rate_Card[Description],Rate_Card[item ref no.],""),_xlfn.XLOOKUP(MT[[#This Row],[Category]]&amp;MT[[#This Row],[Subcategory]]&amp;MT[[#This Row],[Items Detailed Description]],Rate_Card[Category]&amp;Rate_Card[Description]&amp;Rate_Card[Additional Details],Rate_Card[item ref no.],""))</f>
        <v/>
      </c>
      <c r="D19" s="70"/>
      <c r="E19" s="72" t="s">
        <v>882</v>
      </c>
      <c r="F19" s="23" t="str" cm="1">
        <f t="array" ref="F19">IF(MT[[#This Row],[Category]]="Fabrication",_xlfn.XLOOKUP($F$1&amp;MT[[#This Row],[Category]]&amp;MT[[#This Row],[Subcategory]],Rate_Card[Pricelist]&amp;Rate_Card[Category]&amp;Rate_Card[Description],Rate_Card[Ops - Brisk_Cost],""),_xlfn.XLOOKUP($F$1&amp;MT[[#This Row],[Category]]&amp;MT[[#This Row],[Subcategory]]&amp;MT[[#This Row],[Items Detailed Description]],Rate_Card[Pricelist]&amp;Rate_Card[Category]&amp;Rate_Card[Description]&amp;Rate_Card[Additional Details],Rate_Card[Ops - Brisk_Cost],""))</f>
        <v/>
      </c>
      <c r="G19" s="23" t="str" cm="1">
        <f t="array" ref="G19">IF(MT[[#This Row],[Category]]="Fabrication",_xlfn.XLOOKUP($F$1&amp;MT[[#This Row],[Category]]&amp;MT[[#This Row],[Subcategory]],Rate_Card[Pricelist]&amp;Rate_Card[Category]&amp;Rate_Card[Description],Rate_Card[Client Cost],""),_xlfn.XLOOKUP($F$1&amp;MT[[#This Row],[Category]]&amp;MT[[#This Row],[Subcategory]]&amp;MT[[#This Row],[Items Detailed Description]],Rate_Card[Pricelist]&amp;Rate_Card[Category]&amp;Rate_Card[Description]&amp;Rate_Card[Additional Details],Rate_Card[Client Cost],""))</f>
        <v/>
      </c>
      <c r="H19" s="73" t="str">
        <f>MT[[#This Row],[Rate_Card (Kshs)]]</f>
        <v/>
      </c>
      <c r="I19" s="74"/>
      <c r="J19" s="74"/>
      <c r="K19" s="102" t="str">
        <f>IFERROR(MT[[#This Row],[Client_Rate]]*(IF(MT[[#This Row],[Qty]]=0,1,MT[[#This Row],[Qty]]))*(IF(MT[[#This Row],[Duration]]=0,1,MT[[#This Row],[Duration]])),"")</f>
        <v/>
      </c>
      <c r="L19" s="75" t="str">
        <f>IFERROR(MT[[#This Row],[Ops_Cost]]*(IF(MT[[#This Row],[Qty]]=0,1,MT[[#This Row],[Qty]]))*(IF(MT[[#This Row],[Duration]]=0,1,MT[[#This Row],[Duration]])),"")</f>
        <v/>
      </c>
      <c r="M19" s="76" t="str">
        <f>IFERROR(MT[[#This Row],[Client_Rate]]-MT[[#This Row],[Rate_Card (Kshs)]],"")</f>
        <v/>
      </c>
      <c r="N19" s="77" t="str">
        <f>IFERROR(MT[[#This Row],[Total Cost]]-MT[[#This Row],[Total Ops Cost KE]],"")</f>
        <v/>
      </c>
      <c r="O19" s="24" t="str">
        <f>IFERROR(MT[[#This Row],[Sales Margin (val)]]/MT[[#This Row],[Total Cost]],"")</f>
        <v/>
      </c>
      <c r="P19" s="78"/>
      <c r="Q19" s="79" t="b">
        <v>0</v>
      </c>
      <c r="R19" s="80"/>
      <c r="S19" s="25">
        <f>IF(MT[[#This Row],[Approval]],MT[[#This Row],[Total Cost]],MT[[#This Row],[MD Proposed Cost]])</f>
        <v>0</v>
      </c>
      <c r="T19" s="81"/>
    </row>
    <row r="20" spans="2:20">
      <c r="B20" s="82"/>
      <c r="C20" s="83" t="str" cm="1">
        <f t="array" ref="C20">IF(MT[[#This Row],[Category]]="Fabrication",_xlfn.XLOOKUP(MT[[#This Row],[Category]]&amp;MT[[#This Row],[Subcategory]],Rate_Card[Category]&amp;Rate_Card[Description],Rate_Card[item ref no.],""),_xlfn.XLOOKUP(MT[[#This Row],[Category]]&amp;MT[[#This Row],[Subcategory]]&amp;MT[[#This Row],[Items Detailed Description]],Rate_Card[Category]&amp;Rate_Card[Description]&amp;Rate_Card[Additional Details],Rate_Card[item ref no.],""))</f>
        <v/>
      </c>
      <c r="D20" s="82"/>
      <c r="E20" s="82"/>
      <c r="F20" s="21" t="str" cm="1">
        <f t="array" ref="F20">IF(MT[[#This Row],[Category]]="Fabrication",_xlfn.XLOOKUP($F$1&amp;MT[[#This Row],[Category]]&amp;MT[[#This Row],[Subcategory]],Rate_Card[Pricelist]&amp;Rate_Card[Category]&amp;Rate_Card[Description],Rate_Card[Ops - Brisk_Cost],""),_xlfn.XLOOKUP($F$1&amp;MT[[#This Row],[Category]]&amp;MT[[#This Row],[Subcategory]]&amp;MT[[#This Row],[Items Detailed Description]],Rate_Card[Pricelist]&amp;Rate_Card[Category]&amp;Rate_Card[Description]&amp;Rate_Card[Additional Details],Rate_Card[Ops - Brisk_Cost],""))</f>
        <v/>
      </c>
      <c r="G20" s="21" t="str" cm="1">
        <f t="array" ref="G20">IF(MT[[#This Row],[Category]]="Fabrication",_xlfn.XLOOKUP($F$1&amp;MT[[#This Row],[Category]]&amp;MT[[#This Row],[Subcategory]],Rate_Card[Pricelist]&amp;Rate_Card[Category]&amp;Rate_Card[Description],Rate_Card[Client Cost],""),_xlfn.XLOOKUP($F$1&amp;MT[[#This Row],[Category]]&amp;MT[[#This Row],[Subcategory]]&amp;MT[[#This Row],[Items Detailed Description]],Rate_Card[Pricelist]&amp;Rate_Card[Category]&amp;Rate_Card[Description]&amp;Rate_Card[Additional Details],Rate_Card[Client Cost],""))</f>
        <v/>
      </c>
      <c r="H20" s="85" t="str">
        <f>MT[[#This Row],[Rate_Card (Kshs)]]</f>
        <v/>
      </c>
      <c r="I20" s="99"/>
      <c r="J20" s="99"/>
      <c r="K20" s="103" t="str">
        <f>IFERROR(MT[[#This Row],[Client_Rate]]*(IF(MT[[#This Row],[Qty]]=0,1,MT[[#This Row],[Qty]]))*(IF(MT[[#This Row],[Duration]]=0,1,MT[[#This Row],[Duration]])),"")</f>
        <v/>
      </c>
      <c r="L20" s="16" t="str">
        <f>IFERROR(MT[[#This Row],[Ops_Cost]]*(IF(MT[[#This Row],[Qty]]=0,1,MT[[#This Row],[Qty]]))*(IF(MT[[#This Row],[Duration]]=0,1,MT[[#This Row],[Duration]])),"")</f>
        <v/>
      </c>
      <c r="M20" s="86" t="str">
        <f>IFERROR(MT[[#This Row],[Client_Rate]]-MT[[#This Row],[Rate_Card (Kshs)]],"")</f>
        <v/>
      </c>
      <c r="N20" s="87" t="str">
        <f>IFERROR(MT[[#This Row],[Total Cost]]-MT[[#This Row],[Total Ops Cost KE]],"")</f>
        <v/>
      </c>
      <c r="O20" s="15" t="str">
        <f>IFERROR(MT[[#This Row],[Sales Margin (val)]]/MT[[#This Row],[Total Cost]],"")</f>
        <v/>
      </c>
      <c r="P20" s="88"/>
      <c r="Q20" s="100" t="b">
        <v>0</v>
      </c>
      <c r="R20" s="90"/>
      <c r="S20" s="7">
        <f>IF(MT[[#This Row],[Approval]],MT[[#This Row],[Total Cost]],MT[[#This Row],[MD Proposed Cost]])</f>
        <v>0</v>
      </c>
      <c r="T20" s="91"/>
    </row>
    <row r="21" spans="2:20" ht="12.95" thickBot="1">
      <c r="B21" s="82"/>
      <c r="C21" s="83"/>
      <c r="D21" s="82"/>
      <c r="E21" s="84"/>
      <c r="F21" s="21"/>
      <c r="G21" s="21"/>
      <c r="H21" s="85"/>
      <c r="I21" s="82"/>
      <c r="J21" s="82"/>
      <c r="K21" s="103"/>
      <c r="L21" s="16"/>
      <c r="M21" s="86"/>
      <c r="N21" s="87"/>
      <c r="O21" s="15"/>
      <c r="P21" s="88"/>
      <c r="Q21" s="89"/>
      <c r="R21" s="90"/>
      <c r="S21" s="7"/>
      <c r="T21" s="91"/>
    </row>
    <row r="22" spans="2:20" ht="21.95" customHeight="1" thickTop="1">
      <c r="B22" s="137" t="s">
        <v>865</v>
      </c>
      <c r="C22" s="138"/>
      <c r="D22" s="138"/>
      <c r="E22" s="138"/>
      <c r="F22" s="138"/>
      <c r="G22" s="138"/>
      <c r="H22" s="138"/>
      <c r="I22" s="138"/>
      <c r="J22" s="139"/>
      <c r="K22" s="8">
        <f>SUM(MT[Total Cost])</f>
        <v>56600</v>
      </c>
      <c r="L22" s="3">
        <f>SUM(MT[Total Ops Cost KE])</f>
        <v>4150</v>
      </c>
      <c r="M22" s="5">
        <f>SUM(MT[Var (Rate Card Vs Client)])</f>
        <v>0</v>
      </c>
      <c r="N22" s="3">
        <f>SUM(MT[Sales Margin (val)])</f>
        <v>52450</v>
      </c>
      <c r="O22" s="4">
        <f>IFERROR(1-L22/K22,0)</f>
        <v>0.92667844522968201</v>
      </c>
      <c r="P22" s="13"/>
      <c r="Q22" s="10"/>
      <c r="R22" s="11">
        <f t="shared" ref="R22:R24" si="0">IF(O22,I22,Q22)</f>
        <v>0</v>
      </c>
      <c r="S22" s="92">
        <f>SUM(MT[Final Approved])</f>
        <v>50000</v>
      </c>
      <c r="T22" s="93"/>
    </row>
    <row r="23" spans="2:20" ht="21.95" customHeight="1">
      <c r="B23" s="140">
        <v>0.15</v>
      </c>
      <c r="C23" s="141"/>
      <c r="D23" s="141"/>
      <c r="E23" s="141"/>
      <c r="F23" s="141"/>
      <c r="G23" s="141"/>
      <c r="H23" s="141"/>
      <c r="I23" s="141"/>
      <c r="J23" s="142"/>
      <c r="K23" s="9">
        <f>K22*B23</f>
        <v>8490</v>
      </c>
      <c r="L23" s="94"/>
      <c r="M23" s="94"/>
      <c r="N23" s="94"/>
      <c r="O23" s="94"/>
      <c r="P23" s="95"/>
      <c r="Q23" s="96"/>
      <c r="R23" s="12">
        <f t="shared" si="0"/>
        <v>0</v>
      </c>
      <c r="S23" s="97"/>
      <c r="T23" s="27"/>
    </row>
    <row r="24" spans="2:20" ht="21.95" customHeight="1">
      <c r="B24" s="143" t="s">
        <v>866</v>
      </c>
      <c r="C24" s="144"/>
      <c r="D24" s="144"/>
      <c r="E24" s="144"/>
      <c r="F24" s="144"/>
      <c r="G24" s="144"/>
      <c r="H24" s="144"/>
      <c r="I24" s="144"/>
      <c r="J24" s="145"/>
      <c r="K24" s="9">
        <f>SUM(K22:K23)</f>
        <v>65090</v>
      </c>
      <c r="L24" s="94"/>
      <c r="M24" s="94"/>
      <c r="N24" s="94"/>
      <c r="O24" s="94"/>
      <c r="P24" s="95"/>
      <c r="Q24" s="96"/>
      <c r="R24" s="12">
        <f t="shared" si="0"/>
        <v>0</v>
      </c>
      <c r="S24" s="97"/>
      <c r="T24" s="27"/>
    </row>
    <row r="25" spans="2:20">
      <c r="C25" s="28"/>
      <c r="D25" s="28"/>
      <c r="E25" s="29"/>
      <c r="F25" s="33"/>
      <c r="G25" s="31"/>
      <c r="H25" s="30"/>
      <c r="I25" s="31"/>
      <c r="J25" s="1"/>
      <c r="M25" s="1"/>
    </row>
    <row r="26" spans="2:20">
      <c r="B26" s="28" t="s">
        <v>867</v>
      </c>
      <c r="C26" s="28"/>
      <c r="D26" s="28"/>
      <c r="E26" s="29"/>
      <c r="F26" s="33"/>
      <c r="G26" s="31"/>
      <c r="H26" s="30"/>
      <c r="I26" s="32"/>
      <c r="J26" s="1"/>
      <c r="L26" s="149" t="s">
        <v>868</v>
      </c>
      <c r="M26" s="150"/>
      <c r="N26" s="150"/>
      <c r="O26" s="150"/>
      <c r="P26" s="150"/>
      <c r="Q26" s="151"/>
    </row>
    <row r="27" spans="2:20">
      <c r="B27" s="28" t="s">
        <v>869</v>
      </c>
      <c r="C27" s="28"/>
      <c r="D27" s="28"/>
      <c r="E27" s="29"/>
      <c r="F27" s="33"/>
      <c r="G27" s="31"/>
      <c r="H27" s="30"/>
      <c r="J27" s="1"/>
      <c r="L27" s="152" t="s">
        <v>870</v>
      </c>
      <c r="M27" s="153"/>
      <c r="N27" s="153"/>
      <c r="O27" s="153"/>
      <c r="P27" s="153"/>
      <c r="Q27" s="154"/>
    </row>
    <row r="28" spans="2:20">
      <c r="B28" s="28" t="s">
        <v>871</v>
      </c>
      <c r="C28" s="28"/>
      <c r="D28" s="28"/>
      <c r="E28" s="29"/>
      <c r="F28" s="33"/>
      <c r="G28" s="31"/>
      <c r="H28" s="30"/>
      <c r="I28" s="33"/>
      <c r="J28" s="1"/>
      <c r="L28" s="152" t="s">
        <v>872</v>
      </c>
      <c r="M28" s="153"/>
      <c r="N28" s="153"/>
      <c r="O28" s="153"/>
      <c r="P28" s="153"/>
      <c r="Q28" s="154"/>
    </row>
    <row r="29" spans="2:20">
      <c r="B29" s="28" t="s">
        <v>873</v>
      </c>
      <c r="E29" s="26"/>
      <c r="F29" s="98"/>
      <c r="G29" s="31"/>
      <c r="H29" s="34"/>
      <c r="I29" s="31"/>
      <c r="J29" s="1"/>
      <c r="L29" s="152" t="s">
        <v>874</v>
      </c>
      <c r="M29" s="153"/>
      <c r="N29" s="153"/>
      <c r="O29" s="153"/>
      <c r="P29" s="153"/>
      <c r="Q29" s="154"/>
    </row>
    <row r="30" spans="2:20">
      <c r="E30" s="26"/>
      <c r="F30" s="98"/>
      <c r="G30" s="31"/>
      <c r="H30" s="34"/>
      <c r="I30" s="31"/>
      <c r="J30" s="1"/>
      <c r="M30" s="1"/>
    </row>
    <row r="31" spans="2:20">
      <c r="E31" s="26"/>
      <c r="F31" s="98"/>
      <c r="G31" s="31"/>
      <c r="H31" s="34"/>
      <c r="I31" s="31"/>
      <c r="J31" s="1"/>
      <c r="M31" s="1"/>
    </row>
    <row r="40" ht="21.95" customHeight="1"/>
    <row r="41" ht="21.95" customHeight="1"/>
    <row r="42" ht="21.95" customHeight="1"/>
    <row r="65" ht="23.1" customHeight="1"/>
    <row r="66" ht="23.1" customHeight="1"/>
    <row r="67" ht="23.1" customHeight="1"/>
  </sheetData>
  <sheetProtection formatCells="0" formatColumns="0" formatRows="0" insertRows="0" deleteRows="0" sort="0" autoFilter="0"/>
  <mergeCells count="18">
    <mergeCell ref="L27:Q27"/>
    <mergeCell ref="N4:R4"/>
    <mergeCell ref="L29:Q29"/>
    <mergeCell ref="C5:D5"/>
    <mergeCell ref="N5:R5"/>
    <mergeCell ref="L6:P6"/>
    <mergeCell ref="Q6:T6"/>
    <mergeCell ref="B22:J22"/>
    <mergeCell ref="B2:B5"/>
    <mergeCell ref="C2:D2"/>
    <mergeCell ref="N2:R2"/>
    <mergeCell ref="C3:D3"/>
    <mergeCell ref="N3:R3"/>
    <mergeCell ref="C4:D4"/>
    <mergeCell ref="L28:Q28"/>
    <mergeCell ref="B23:J23"/>
    <mergeCell ref="B24:J24"/>
    <mergeCell ref="L26:Q26"/>
  </mergeCells>
  <conditionalFormatting sqref="N8:O20">
    <cfRule type="cellIs" dxfId="43" priority="4" operator="lessThan">
      <formula>0</formula>
    </cfRule>
  </conditionalFormatting>
  <conditionalFormatting sqref="O8:O20">
    <cfRule type="cellIs" dxfId="42" priority="1" operator="lessThan">
      <formula>0.4</formula>
    </cfRule>
  </conditionalFormatting>
  <conditionalFormatting sqref="O22">
    <cfRule type="cellIs" dxfId="41" priority="2" operator="lessThan">
      <formula>0.4</formula>
    </cfRule>
    <cfRule type="cellIs" dxfId="40" priority="3" operator="lessThan">
      <formula>0</formula>
    </cfRule>
  </conditionalFormatting>
  <dataValidations count="4">
    <dataValidation type="decimal" allowBlank="1" showInputMessage="1" showErrorMessage="1" prompt="Just write the Agency fee as a percentage e.g 15%_x000a_" sqref="B23:J23" xr:uid="{09CF7263-4BA3-4C50-8066-92545B2C7C0A}">
      <formula1>0</formula1>
      <formula2>1</formula2>
    </dataValidation>
    <dataValidation type="list" showInputMessage="1" showErrorMessage="1" error="You have to pick from the List" prompt="Pick from the list" sqref="B8:B20" xr:uid="{5DF8AD52-F50B-4DD9-A5F9-EE3DBFBE9A3B}">
      <formula1>DDL(mylist)</formula1>
    </dataValidation>
    <dataValidation type="list" errorStyle="warning" showInputMessage="1" showErrorMessage="1" error="This is not in our list. You may proceed but will not have the Ops Costs populated" prompt="Pick from the List. Depends on the Category and Subcategory" sqref="E8:E20" xr:uid="{4A7960B7-AF79-4619-A90B-6D9BC6089899}">
      <formula1>DDL(mylist,B8,D8)</formula1>
    </dataValidation>
    <dataValidation type="list" showInputMessage="1" showErrorMessage="1" error="You have to pick from the list of Subcategories" prompt="Pick from the list. Depends on the category selected" sqref="D8:D20" xr:uid="{6666DB44-CC4B-4B47-9C39-3A99AB68B6A3}">
      <formula1>DDL(mylist,B8)</formula1>
    </dataValidation>
  </dataValidations>
  <pageMargins left="0.25" right="0.25" top="0.75" bottom="0.75" header="0.3" footer="0.3"/>
  <pageSetup scale="34" fitToHeight="0" orientation="portrait" r:id="rId1"/>
  <headerFooter>
    <oddHeader>&amp;R&amp;A</oddHeader>
    <oddFooter>&amp;L&amp;"-,Italic"Growing your Business&amp;RPage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ExportToPDF">
                <anchor moveWithCells="1" sizeWithCells="1">
                  <from>
                    <xdr:col>3</xdr:col>
                    <xdr:colOff>0</xdr:colOff>
                    <xdr:row>5</xdr:row>
                    <xdr:rowOff>12700</xdr:rowOff>
                  </from>
                  <to>
                    <xdr:col>3</xdr:col>
                    <xdr:colOff>1955800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5" name="Button 10">
              <controlPr defaultSize="0" print="0" autoFill="0" autoPict="0" macro="[0]!ExportAllSheetsToPDF">
                <anchor moveWithCells="1" sizeWithCells="1">
                  <from>
                    <xdr:col>4</xdr:col>
                    <xdr:colOff>381000</xdr:colOff>
                    <xdr:row>5</xdr:row>
                    <xdr:rowOff>12700</xdr:rowOff>
                  </from>
                  <to>
                    <xdr:col>5</xdr:col>
                    <xdr:colOff>831850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6" name="Button 11">
              <controlPr defaultSize="0" print="0" autoFill="0" autoPict="0" macro="[0]!ExportAllSheetsToXLSX">
                <anchor moveWithCells="1" sizeWithCells="1">
                  <from>
                    <xdr:col>6</xdr:col>
                    <xdr:colOff>615950</xdr:colOff>
                    <xdr:row>5</xdr:row>
                    <xdr:rowOff>12700</xdr:rowOff>
                  </from>
                  <to>
                    <xdr:col>10</xdr:col>
                    <xdr:colOff>920750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92F742-2297-458A-949D-ECBD4046E698}">
          <x14:formula1>
            <xm:f>_xlfn.ANCHORARRAY('Rate_Card'!$K$1)</xm:f>
          </x14:formula1>
          <xm:sqref>F1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c03e4ec-9d09-4350-9381-106d7847ea80">
      <Terms xmlns="http://schemas.microsoft.com/office/infopath/2007/PartnerControls"/>
    </lcf76f155ced4ddcb4097134ff3c332f>
    <TaxCatchAll xmlns="34710b07-13ab-412e-895a-47d3114d65ca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C79E10823D5A3499A5F447A216E472E" ma:contentTypeVersion="12" ma:contentTypeDescription="Create a new document." ma:contentTypeScope="" ma:versionID="06c98570ddfff9d0c623e06352689a34">
  <xsd:schema xmlns:xsd="http://www.w3.org/2001/XMLSchema" xmlns:xs="http://www.w3.org/2001/XMLSchema" xmlns:p="http://schemas.microsoft.com/office/2006/metadata/properties" xmlns:ns2="bc03e4ec-9d09-4350-9381-106d7847ea80" xmlns:ns3="34710b07-13ab-412e-895a-47d3114d65ca" targetNamespace="http://schemas.microsoft.com/office/2006/metadata/properties" ma:root="true" ma:fieldsID="372bea66637d9b90c9b7ed8b186b6894" ns2:_="" ns3:_="">
    <xsd:import namespace="bc03e4ec-9d09-4350-9381-106d7847ea80"/>
    <xsd:import namespace="34710b07-13ab-412e-895a-47d3114d65c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c03e4ec-9d09-4350-9381-106d7847ea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2c2ed6cf-6576-4b7a-8029-631549d9220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4710b07-13ab-412e-895a-47d3114d65ca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50a9311e-152a-40d7-b61e-6107f7256414}" ma:internalName="TaxCatchAll" ma:showField="CatchAllData" ma:web="34710b07-13ab-412e-895a-47d3114d65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DCE3650-C5A8-4359-ADB1-D4F8E9F8ACAD}"/>
</file>

<file path=customXml/itemProps2.xml><?xml version="1.0" encoding="utf-8"?>
<ds:datastoreItem xmlns:ds="http://schemas.openxmlformats.org/officeDocument/2006/customXml" ds:itemID="{A827C26D-6F5A-493B-A84E-BE5A203D8C6D}"/>
</file>

<file path=customXml/itemProps3.xml><?xml version="1.0" encoding="utf-8"?>
<ds:datastoreItem xmlns:ds="http://schemas.openxmlformats.org/officeDocument/2006/customXml" ds:itemID="{4AC2F06B-EC7D-4E97-B1B1-1C2C378D8C61}"/>
</file>

<file path=customXml/itemProps4.xml><?xml version="1.0" encoding="utf-8"?>
<ds:datastoreItem xmlns:ds="http://schemas.openxmlformats.org/officeDocument/2006/customXml" ds:itemID="{9A0821E0-1260-469D-82B7-C470E56C462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Manyi  Ngunze</cp:lastModifiedBy>
  <cp:revision>1</cp:revision>
  <dcterms:created xsi:type="dcterms:W3CDTF">2025-09-25T13:56:11Z</dcterms:created>
  <dcterms:modified xsi:type="dcterms:W3CDTF">2025-11-03T07:27:42Z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0x0101008C79E10823D5A3499A5F447A216E472E</vt:lpwstr>
  </property>
  <property fmtid="{D5CDD505-2E9C-101B-9397-08002B2CF9AE}" pid="3" name="MediaServiceImageTags">
    <vt:lpwstr/>
  </property>
</Properties>
</file>